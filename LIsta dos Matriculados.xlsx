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istema\"/>
    </mc:Choice>
  </mc:AlternateContent>
  <xr:revisionPtr revIDLastSave="0" documentId="13_ncr:1_{EDE63E4D-2B28-4E39-8BD7-606233462EF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oal Geral" sheetId="1" r:id="rId1"/>
    <sheet name="Primeira Classe" sheetId="2" r:id="rId2"/>
    <sheet name="Segunda Classe" sheetId="3" r:id="rId3"/>
    <sheet name="Terceira" sheetId="4" r:id="rId4"/>
    <sheet name="Quarta Classe" sheetId="5" r:id="rId5"/>
    <sheet name="Quinta Classe" sheetId="6" r:id="rId6"/>
    <sheet name="Sexta Class" sheetId="7" r:id="rId7"/>
    <sheet name="Setima Classe" sheetId="8" r:id="rId8"/>
    <sheet name="Oiva Classe" sheetId="9" r:id="rId9"/>
    <sheet name="Nona Classe" sheetId="10" r:id="rId10"/>
    <sheet name="Decima Classe" sheetId="11" r:id="rId11"/>
    <sheet name="Decima Primeira Classe" sheetId="12" r:id="rId12"/>
    <sheet name="Decima Segunda Classe" sheetId="13" r:id="rId13"/>
    <sheet name="Sheet2" sheetId="16" r:id="rId14"/>
    <sheet name="Sheet14" sheetId="14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20" i="1" l="1"/>
  <c r="C20" i="16"/>
  <c r="G24" i="1"/>
  <c r="G26" i="1"/>
  <c r="H20" i="1"/>
  <c r="O20" i="1" l="1"/>
  <c r="C32" i="1" l="1"/>
  <c r="E32" i="1"/>
  <c r="F32" i="1"/>
  <c r="B32" i="1"/>
  <c r="H30" i="1"/>
  <c r="J30" i="1" s="1"/>
  <c r="M19" i="1" s="1"/>
  <c r="P19" i="1" s="1"/>
  <c r="I30" i="1"/>
  <c r="D30" i="1"/>
  <c r="H28" i="1"/>
  <c r="I28" i="1"/>
  <c r="D28" i="1"/>
  <c r="D10" i="1"/>
  <c r="D12" i="1"/>
  <c r="D14" i="1"/>
  <c r="D16" i="1"/>
  <c r="D18" i="1"/>
  <c r="D20" i="1"/>
  <c r="D22" i="1"/>
  <c r="D24" i="1"/>
  <c r="D26" i="1"/>
  <c r="D8" i="1"/>
  <c r="I14" i="1"/>
  <c r="I16" i="1"/>
  <c r="I18" i="1"/>
  <c r="I20" i="1"/>
  <c r="J20" i="1" s="1"/>
  <c r="I22" i="1"/>
  <c r="I24" i="1"/>
  <c r="I26" i="1"/>
  <c r="H14" i="1"/>
  <c r="H16" i="1"/>
  <c r="H18" i="1"/>
  <c r="H22" i="1"/>
  <c r="H24" i="1"/>
  <c r="H26" i="1"/>
  <c r="I12" i="1"/>
  <c r="I10" i="1"/>
  <c r="H10" i="1"/>
  <c r="H12" i="1"/>
  <c r="H8" i="1"/>
  <c r="J28" i="1" l="1"/>
  <c r="H32" i="1"/>
  <c r="D32" i="1"/>
  <c r="J10" i="1"/>
  <c r="J12" i="1"/>
  <c r="J14" i="1"/>
  <c r="J26" i="1"/>
  <c r="J24" i="1"/>
  <c r="J22" i="1"/>
  <c r="M15" i="1" s="1"/>
  <c r="P15" i="1" s="1"/>
  <c r="J18" i="1"/>
  <c r="J16" i="1"/>
  <c r="I8" i="1"/>
  <c r="G12" i="1"/>
  <c r="G14" i="1"/>
  <c r="G16" i="1"/>
  <c r="G18" i="1"/>
  <c r="G22" i="1"/>
  <c r="G8" i="1"/>
  <c r="M18" i="1" l="1"/>
  <c r="P18" i="1" s="1"/>
  <c r="M17" i="1"/>
  <c r="P17" i="1" s="1"/>
  <c r="M16" i="1"/>
  <c r="P16" i="1" s="1"/>
  <c r="M14" i="1"/>
  <c r="P14" i="1" s="1"/>
  <c r="M13" i="1"/>
  <c r="P13" i="1" s="1"/>
  <c r="M12" i="1"/>
  <c r="P12" i="1" s="1"/>
  <c r="M11" i="1"/>
  <c r="P11" i="1" s="1"/>
  <c r="M10" i="1"/>
  <c r="P10" i="1" s="1"/>
  <c r="M9" i="1"/>
  <c r="P9" i="1" s="1"/>
  <c r="I32" i="1"/>
  <c r="J8" i="1"/>
  <c r="M8" i="1" s="1"/>
  <c r="P8" i="1" s="1"/>
  <c r="G32" i="1"/>
  <c r="P20" i="1" l="1"/>
  <c r="J32" i="1"/>
  <c r="M20" i="1" l="1"/>
  <c r="K13" i="1"/>
</calcChain>
</file>

<file path=xl/sharedStrings.xml><?xml version="1.0" encoding="utf-8"?>
<sst xmlns="http://schemas.openxmlformats.org/spreadsheetml/2006/main" count="694" uniqueCount="330">
  <si>
    <t>Lista de alunos Matriculados</t>
  </si>
  <si>
    <r>
      <t>1.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2"/>
        <color theme="1"/>
        <rFont val="Times New Roman"/>
        <family val="1"/>
      </rPr>
      <t>Ano Lectivo 2026</t>
    </r>
  </si>
  <si>
    <t>Classes</t>
  </si>
  <si>
    <t>Total</t>
  </si>
  <si>
    <t>Alunos Internos</t>
  </si>
  <si>
    <t>Novos Ingressos</t>
  </si>
  <si>
    <t>F</t>
  </si>
  <si>
    <t>M</t>
  </si>
  <si>
    <t>FM</t>
  </si>
  <si>
    <t>Column1</t>
  </si>
  <si>
    <t>Column3</t>
  </si>
  <si>
    <t>Nomes</t>
  </si>
  <si>
    <t>Situacao</t>
  </si>
  <si>
    <t>Ayana Liz De Mário Nhatumbo</t>
  </si>
  <si>
    <t>Momed Fahardino Ussene</t>
  </si>
  <si>
    <t>Jeovana Da Abhigail Mavie</t>
  </si>
  <si>
    <t>Niyara Luanda Chivura</t>
  </si>
  <si>
    <t>Shaden Óscar De Melo</t>
  </si>
  <si>
    <t>Ayla Beatriz Mutemba</t>
  </si>
  <si>
    <t>Hayton Adonai Sitoé</t>
  </si>
  <si>
    <t>Numero</t>
  </si>
  <si>
    <t>Nome</t>
  </si>
  <si>
    <t>Amândio Enoque Júnior</t>
  </si>
  <si>
    <t>Emílio Amândio Inoque</t>
  </si>
  <si>
    <t>Orlando Lucas</t>
  </si>
  <si>
    <t>Camila Ali Cutane</t>
  </si>
  <si>
    <t>Keyla Braga MUlima</t>
  </si>
  <si>
    <t>Kyara Balbina Sumbi</t>
  </si>
  <si>
    <t>Nataniel Delso</t>
  </si>
  <si>
    <t>Whitney Kiesha Macuácua</t>
  </si>
  <si>
    <t>Jhonathan José</t>
  </si>
  <si>
    <t>Terceira  Classe</t>
  </si>
  <si>
    <t>Valdemiro Flugêncio</t>
  </si>
  <si>
    <t>Caio António Bachir</t>
  </si>
  <si>
    <t>Anastâncio Da Izaura Carlitos</t>
  </si>
  <si>
    <t>Edleusia Francisco</t>
  </si>
  <si>
    <t>Wilton Armando Tuzine</t>
  </si>
  <si>
    <t>Alzineide Sérgio Sitoé</t>
  </si>
  <si>
    <t>Alícia Sérgio Sitoé</t>
  </si>
  <si>
    <t>Sheila Marcela</t>
  </si>
  <si>
    <t>Nazle Arlindo</t>
  </si>
  <si>
    <t>Larsen Jancinto</t>
  </si>
  <si>
    <t>Shamira De Fátima</t>
  </si>
  <si>
    <t>NI</t>
  </si>
  <si>
    <t>Kayon Joaquim Norte</t>
  </si>
  <si>
    <t>Lakisha Da Alda</t>
  </si>
  <si>
    <t>Alisha Monteiro</t>
  </si>
  <si>
    <t>Salvador Banze</t>
  </si>
  <si>
    <t>Yunique Helder Sabão</t>
  </si>
  <si>
    <t>Diego lopez Chinombiano</t>
  </si>
  <si>
    <t>Dumane Jorge Tamele</t>
  </si>
  <si>
    <t xml:space="preserve">Enzo Carlos </t>
  </si>
  <si>
    <t>Gerson Alberto Sumbi</t>
  </si>
  <si>
    <t>Romel Gabriel Munharo Colaço</t>
  </si>
  <si>
    <t>Maron Virgílio Munharo Colaço</t>
  </si>
  <si>
    <t>Delso Cleyde</t>
  </si>
  <si>
    <t>Neelan Luanda Chivura</t>
  </si>
  <si>
    <t>Assucena Ilídio</t>
  </si>
  <si>
    <t>Kiyandra Orlando Sangue</t>
  </si>
  <si>
    <t>Luana Cacilda Muianga</t>
  </si>
  <si>
    <t>Moreira Camacho</t>
  </si>
  <si>
    <t>Breno Benjamim Moia</t>
  </si>
  <si>
    <t>Yuston Matlavane</t>
  </si>
  <si>
    <t>Calton Boaventura</t>
  </si>
  <si>
    <t>Tácio Basílio Massochua</t>
  </si>
  <si>
    <t>Djassy Félix Nhatumbo</t>
  </si>
  <si>
    <t>Ôshley Samy Bilize</t>
  </si>
  <si>
    <t>Delvin Davi Chiponde</t>
  </si>
  <si>
    <t>Érick Sérgio Dzivane</t>
  </si>
  <si>
    <t>Felda Alfredo Chitsulete</t>
  </si>
  <si>
    <t>Aldir Alfredo Muapuhane</t>
  </si>
  <si>
    <t>Guift Chai-Chai</t>
  </si>
  <si>
    <t>Yalens Nora Macamo</t>
  </si>
  <si>
    <t>Kaylane Claúdio Mussa Abubacar</t>
  </si>
  <si>
    <t>Elen Luis Muchanga</t>
  </si>
  <si>
    <t>Edna Francisco</t>
  </si>
  <si>
    <t>Wesley Thopi Dimande</t>
  </si>
  <si>
    <t>Lirandzo Da Margarida Sibinde</t>
  </si>
  <si>
    <t>Alexandra Vanessa</t>
  </si>
  <si>
    <t>Lúmina Lázaro</t>
  </si>
  <si>
    <t>Carolina Felisberto Chicala</t>
  </si>
  <si>
    <t>NOVO INGRESSO</t>
  </si>
  <si>
    <t>Margarida Mariamo Pacheco Xavier</t>
  </si>
  <si>
    <t>Shirley Elisa Bilale</t>
  </si>
  <si>
    <t>Luana Jorge Tamele</t>
  </si>
  <si>
    <t xml:space="preserve">Isabel António Muchanga </t>
  </si>
  <si>
    <t>Adelelina Mário Serafim</t>
  </si>
  <si>
    <t>Mizan Luanda Chivura</t>
  </si>
  <si>
    <t>Lúcia Henriques</t>
  </si>
  <si>
    <t>Thulane Valter Guiliche</t>
  </si>
  <si>
    <t>Anésia Wilma Macamo</t>
  </si>
  <si>
    <t>Alinny Shelton Langa</t>
  </si>
  <si>
    <t>Kasey Arsénio Munguambe</t>
  </si>
  <si>
    <t>Eliel Helio</t>
  </si>
  <si>
    <t>Sara Bernadete</t>
  </si>
  <si>
    <t xml:space="preserve">Kyara Amândio </t>
  </si>
  <si>
    <t>Muaziza Orlando Selemane</t>
  </si>
  <si>
    <t>Andricia Osvaldo Cunica</t>
  </si>
  <si>
    <t>Marinela Isac</t>
  </si>
  <si>
    <t>Yani Francisca Mutemba</t>
  </si>
  <si>
    <t>Khelven Luis Muchanga</t>
  </si>
  <si>
    <t>Melvina Osvaldo Cunica</t>
  </si>
  <si>
    <t xml:space="preserve">NI </t>
  </si>
  <si>
    <t>Novo Ingress0</t>
  </si>
  <si>
    <t>Eugénio Guirrugo</t>
  </si>
  <si>
    <t>Keywane Jorge Chai-Chai</t>
  </si>
  <si>
    <t>Aurea Alfredo Muhapuane</t>
  </si>
  <si>
    <t>Dércio Bilale</t>
  </si>
  <si>
    <t>Denise José Uissitone</t>
  </si>
  <si>
    <t>Teresa Marcos Matola</t>
  </si>
  <si>
    <t>Tayla Karina Clarêncio</t>
  </si>
  <si>
    <t>Yasmin Mússa Abubacar</t>
  </si>
  <si>
    <t>Cacilda Luis Muchanga</t>
  </si>
  <si>
    <t>Kherolaxminy Joaquim Norte</t>
  </si>
  <si>
    <t>Mirion Arão Malate</t>
  </si>
  <si>
    <t>Clayton Chauze Nhatumbuo</t>
  </si>
  <si>
    <t>Alícia Augusto Manhiça</t>
  </si>
  <si>
    <t>Nayra élcio Menete</t>
  </si>
  <si>
    <t>Vagner Da Graça Guirrugo</t>
  </si>
  <si>
    <t>Mayra dos santos Sitoe</t>
  </si>
  <si>
    <t>Walter José Uissitone</t>
  </si>
  <si>
    <t>Albertina Matola</t>
  </si>
  <si>
    <t>Celsia Arão Matola</t>
  </si>
  <si>
    <t>Heliana Samuel Justino</t>
  </si>
  <si>
    <t>Samuel Justino</t>
  </si>
  <si>
    <t>Widney Valdemiro Nhanala</t>
  </si>
  <si>
    <t>Novo ingresso</t>
  </si>
  <si>
    <t>Kayson Miquitar Pedro</t>
  </si>
  <si>
    <t>Treyson Arsénio Munguambe</t>
  </si>
  <si>
    <t>Jose Alberto Santana</t>
  </si>
  <si>
    <t>Adriel Domingos</t>
  </si>
  <si>
    <t>Cleiton Angelo Manhica</t>
  </si>
  <si>
    <t>Deywid Wezu Claudio Ngulele</t>
  </si>
  <si>
    <t>Alicia Patricia</t>
  </si>
  <si>
    <t>Kaick Mendes</t>
  </si>
  <si>
    <t>Juaila Elina Cossa</t>
  </si>
  <si>
    <t>Lucineide Machava</t>
  </si>
  <si>
    <t>Victoria Francisca Massinga</t>
  </si>
  <si>
    <t>Aike Luis Macheve</t>
  </si>
  <si>
    <t>Yandra Costa Aguiar</t>
  </si>
  <si>
    <t>Shelsia Da Suzy Chemane</t>
  </si>
  <si>
    <t>Victoria Luegi Tsinini</t>
  </si>
  <si>
    <t>Daiane Daniel Cunica</t>
  </si>
  <si>
    <t>Kayala Timana</t>
  </si>
  <si>
    <t>Luther Ian Timana</t>
  </si>
  <si>
    <t>Novo Ingresso</t>
  </si>
  <si>
    <t>Isla Gérvasio Micas</t>
  </si>
  <si>
    <t>Sexo</t>
  </si>
  <si>
    <t>Novo Igresso</t>
  </si>
  <si>
    <t>SEXO</t>
  </si>
  <si>
    <t>Column4</t>
  </si>
  <si>
    <t>Gerson Tomas Culo</t>
  </si>
  <si>
    <t>Elvis tomas culo</t>
  </si>
  <si>
    <r>
      <t>1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</si>
  <si>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2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</si>
  <si>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3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</si>
  <si>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4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</si>
  <si>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5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</si>
  <si>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6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</si>
  <si>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7</t>
    </r>
    <r>
      <rPr>
        <b/>
        <vertAlign val="superscript"/>
        <sz val="12"/>
        <color rgb="FF000000"/>
        <rFont val="Times New Roman"/>
        <family val="1"/>
      </rPr>
      <t xml:space="preserve">a </t>
    </r>
    <r>
      <rPr>
        <b/>
        <sz val="12"/>
        <color rgb="FF000000"/>
        <rFont val="Times New Roman"/>
        <family val="1"/>
      </rPr>
      <t>Classe</t>
    </r>
  </si>
  <si>
    <r>
      <t>8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</si>
  <si>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9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</si>
  <si>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r>
      <t>10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Classe</t>
    </r>
  </si>
  <si>
    <t>11 Classe</t>
  </si>
  <si>
    <t>12 Classe</t>
  </si>
  <si>
    <t>Jasmin Elaine Mutisse</t>
  </si>
  <si>
    <t>Epifania Felicidade Guiboane</t>
  </si>
  <si>
    <t>Elias Helio Pelembe</t>
  </si>
  <si>
    <t>Wezu Jorge Matsinhe</t>
  </si>
  <si>
    <t>Samy Eckson Manjate</t>
  </si>
  <si>
    <t>Marcin Antonio</t>
  </si>
  <si>
    <t>Tania Antonio</t>
  </si>
  <si>
    <t>Weyna Deyse</t>
  </si>
  <si>
    <t>Silvio Arsenio</t>
  </si>
  <si>
    <t>Tiffany Ayane Estafeira</t>
  </si>
  <si>
    <t>Ian Eduardo Zucula</t>
  </si>
  <si>
    <t>Alzira Joaquim Malunga</t>
  </si>
  <si>
    <t>Elvis Fausto</t>
  </si>
  <si>
    <t>Ailton Laureiro Lopez Chinombiano</t>
  </si>
  <si>
    <t>Celma Flora Benjamim</t>
  </si>
  <si>
    <t>Fernandes Da Nilza Emídio Chigenge</t>
  </si>
  <si>
    <t>Lemuel Rocha Matavele</t>
  </si>
  <si>
    <t xml:space="preserve">Maida Anselmo Marrumete </t>
  </si>
  <si>
    <t>Wendy Salomao</t>
  </si>
  <si>
    <t>Ricardo Agnaldo Lemela</t>
  </si>
  <si>
    <t>Taylon Nkateco Mahumana</t>
  </si>
  <si>
    <t>Yanick Davide</t>
  </si>
  <si>
    <t>Hadriel Matabel</t>
  </si>
  <si>
    <t>Daniela Sarifa Matabele</t>
  </si>
  <si>
    <t>Classe</t>
  </si>
  <si>
    <t>Valor Mensal</t>
  </si>
  <si>
    <t>Total Por Arrecadar</t>
  </si>
  <si>
    <t>Primeira Classe</t>
  </si>
  <si>
    <t>Segunda Classe</t>
  </si>
  <si>
    <t>Terceira Classe</t>
  </si>
  <si>
    <t>Quarta Classe</t>
  </si>
  <si>
    <t>Quinta Classe</t>
  </si>
  <si>
    <t>Sexta Classe</t>
  </si>
  <si>
    <t>Sétima Classe</t>
  </si>
  <si>
    <t>Oitava Classe</t>
  </si>
  <si>
    <t>Nona Classe</t>
  </si>
  <si>
    <t>Décima Classe</t>
  </si>
  <si>
    <t>Décima Primeira Classe</t>
  </si>
  <si>
    <t>Décima Segunda Classe</t>
  </si>
  <si>
    <t>Total Alunos</t>
  </si>
  <si>
    <t>Kayra Wanga</t>
  </si>
  <si>
    <t>Geralda Geraldo</t>
  </si>
  <si>
    <t>Shannaya Da Silva Come</t>
  </si>
  <si>
    <t>Alberto Zlatan</t>
  </si>
  <si>
    <t>Wanica Armindo Cumbe</t>
  </si>
  <si>
    <t>Kayron Hilario Tembe</t>
  </si>
  <si>
    <t>Yulsia Francisco Chico</t>
  </si>
  <si>
    <t>Edness Rindzela Samo Gudo</t>
  </si>
  <si>
    <t>Chloe Nyiquiwe Samo Gudo</t>
  </si>
  <si>
    <t>Derek Tavares Zunguza</t>
  </si>
  <si>
    <t>Lisangela Cacilda Macave</t>
  </si>
  <si>
    <t>Kendal Merelin</t>
  </si>
  <si>
    <t>Kedson Carlos Chilundo</t>
  </si>
  <si>
    <t>Wesney Eldo Maibasse</t>
  </si>
  <si>
    <t>Jenny Eldo Maibasse</t>
  </si>
  <si>
    <t>Wezu Derick Manjate</t>
  </si>
  <si>
    <t>Shanyla Felix Tembe</t>
  </si>
  <si>
    <t>Jhaden Oscar De Melo</t>
  </si>
  <si>
    <t>Mikhail Colce Verlopp</t>
  </si>
  <si>
    <t>Ayrton Rogerio Elvino Langa</t>
  </si>
  <si>
    <t>Shelton Armando Tazine</t>
  </si>
  <si>
    <t>Mario Alexandre Bango</t>
  </si>
  <si>
    <t>Adamita Armando Mabongo</t>
  </si>
  <si>
    <t xml:space="preserve">Allen Armando Mabongo </t>
  </si>
  <si>
    <t>Helga Ivone Evaristo Matavele</t>
  </si>
  <si>
    <t>Nelly Jefson Matimbe</t>
  </si>
  <si>
    <t>Hassan Absalao Bachir</t>
  </si>
  <si>
    <t>Creyson Crimildo</t>
  </si>
  <si>
    <t>Erickson Mateus Parafina</t>
  </si>
  <si>
    <t>Wilton Abicio Bango</t>
  </si>
  <si>
    <t>Adnercia Aylton Chilaule</t>
  </si>
  <si>
    <t>Dallen Marcelino Hou</t>
  </si>
  <si>
    <t>Wendy Michelle  Fernandes</t>
  </si>
  <si>
    <t>Hilleil Sulemane</t>
  </si>
  <si>
    <t>Haniel Sulemane</t>
  </si>
  <si>
    <t xml:space="preserve">Kael Amalia Rungo </t>
  </si>
  <si>
    <t>Kiane Amelia Rung</t>
  </si>
  <si>
    <t>Lesley Pinga</t>
  </si>
  <si>
    <t>Wilson Nazir Chirumbo</t>
  </si>
  <si>
    <t>Michela Nazir Chirumno</t>
  </si>
  <si>
    <t>Andrea Andre</t>
  </si>
  <si>
    <t>Nordino Gabriel Zango</t>
  </si>
  <si>
    <t>Kiyana Francisco Zualo</t>
  </si>
  <si>
    <r>
      <t>N</t>
    </r>
    <r>
      <rPr>
        <b/>
        <vertAlign val="superscript"/>
        <sz val="12"/>
        <color rgb="FFFFFFFF"/>
        <rFont val="Times New Roman"/>
        <family val="1"/>
      </rPr>
      <t>o</t>
    </r>
  </si>
  <si>
    <t>Elonio Paulo Matsinhe</t>
  </si>
  <si>
    <t>Kayane Stelio Nhanengue</t>
  </si>
  <si>
    <t>Asher Ngazamune Sitoe</t>
  </si>
  <si>
    <t xml:space="preserve">Sherlon Bulande </t>
  </si>
  <si>
    <t>Allana Stelio Uane</t>
  </si>
  <si>
    <t>Elyn Lameque</t>
  </si>
  <si>
    <t>Yasmin Luis Muiambo</t>
  </si>
  <si>
    <t>Marlon Langa</t>
  </si>
  <si>
    <t>Helvia Mario</t>
  </si>
  <si>
    <t>Kaylon Ngomana</t>
  </si>
  <si>
    <t>Tales Eduardo Macovole</t>
  </si>
  <si>
    <t>Wanica Cumbi</t>
  </si>
  <si>
    <t>Nkhenson Teodomiro Buque</t>
  </si>
  <si>
    <t>Mmawra Da Yivan Fernandes</t>
  </si>
  <si>
    <t>Gabriela Britney Cupane</t>
  </si>
  <si>
    <t>Ruth Noemi Matusse</t>
  </si>
  <si>
    <t>Helfio Januario Vilanculos</t>
  </si>
  <si>
    <t>Dercio Miguel</t>
  </si>
  <si>
    <t>Shayron Ricardo</t>
  </si>
  <si>
    <t>Ana  Alexia Meireles Verlopp</t>
  </si>
  <si>
    <t>Wanila Wiliamo Rubi</t>
  </si>
  <si>
    <t>Winny Quenasse Ngomane</t>
  </si>
  <si>
    <t>Jonathan Macaringue</t>
  </si>
  <si>
    <t>Kayane Venancio</t>
  </si>
  <si>
    <t>Vistar Thokhose</t>
  </si>
  <si>
    <t>Gabriel Rui</t>
  </si>
  <si>
    <t>Aleck Caitro</t>
  </si>
  <si>
    <t>Raquel Daniel Magib</t>
  </si>
  <si>
    <t>Yani Luis Muianga</t>
  </si>
  <si>
    <t>Wendy Gil Howana</t>
  </si>
  <si>
    <t>Shanyla Tavares Zunguze</t>
  </si>
  <si>
    <t>Matsunaga Renato Chaguala</t>
  </si>
  <si>
    <t>Maksood Fralahy Capaia</t>
  </si>
  <si>
    <t>Neil Lameque Matimbe</t>
  </si>
  <si>
    <t>Sasia Salomao Nhacala</t>
  </si>
  <si>
    <t>Lameque Matimbe</t>
  </si>
  <si>
    <t>Marven Maphepa Magagule</t>
  </si>
  <si>
    <t>Yurgan Wiliamo Rubi</t>
  </si>
  <si>
    <t>Sheyser Bulande</t>
  </si>
  <si>
    <t>Luana Clara Tembe</t>
  </si>
  <si>
    <t xml:space="preserve">Matias Salomao </t>
  </si>
  <si>
    <t>Shenyla Mienda</t>
  </si>
  <si>
    <t>Sidney Leopoldino Changule</t>
  </si>
  <si>
    <t>Leopoldino Custodio Changula Junior</t>
  </si>
  <si>
    <t>Ayusca</t>
  </si>
  <si>
    <t>Yanni Varela</t>
  </si>
  <si>
    <t>Uchenna Daniel Savanguane</t>
  </si>
  <si>
    <t>Tanaya Fumo</t>
  </si>
  <si>
    <t>Emanuela Elisa Bie</t>
  </si>
  <si>
    <t>Shenice Muchanga</t>
  </si>
  <si>
    <t>Wesley Cuamba</t>
  </si>
  <si>
    <t>Yasmin Marilia Dombole</t>
  </si>
  <si>
    <t>Edwin Muchanga</t>
  </si>
  <si>
    <t>Bruna Matimbe</t>
  </si>
  <si>
    <t>Benilton Antonio</t>
  </si>
  <si>
    <t>Kayron Langa</t>
  </si>
  <si>
    <t>Carlisha Marieta</t>
  </si>
  <si>
    <t>Janice Uamuce</t>
  </si>
  <si>
    <t>Ayumerson</t>
  </si>
  <si>
    <t>Sunayla Hibrahimo</t>
  </si>
  <si>
    <t>Whitney Cuamba</t>
  </si>
  <si>
    <t>Wanga Chanel Ngoca</t>
  </si>
  <si>
    <t>Teofilo Do Melo</t>
  </si>
  <si>
    <t>Garfield Mucavel</t>
  </si>
  <si>
    <t>Paulo Aires</t>
  </si>
  <si>
    <t xml:space="preserve">Ayusca </t>
  </si>
  <si>
    <t>Aldevina Isaias</t>
  </si>
  <si>
    <t>Bibina Hassan Faruck</t>
  </si>
  <si>
    <t>Sacha Joana Nhalivilo</t>
  </si>
  <si>
    <t>Lina cossa</t>
  </si>
  <si>
    <t>Alunos Com desconto em cinquenta porcento</t>
  </si>
  <si>
    <t>Valor</t>
  </si>
  <si>
    <t>Kaylon Quenasse Ngomana</t>
  </si>
  <si>
    <t>Winy Quenasse Ngomana</t>
  </si>
  <si>
    <t>997.5</t>
  </si>
  <si>
    <t>Elves Culo</t>
  </si>
  <si>
    <t>1522.5</t>
  </si>
  <si>
    <t>Gerlson Culo</t>
  </si>
  <si>
    <t xml:space="preserve">Alunos 50% </t>
  </si>
  <si>
    <t>Shanaya Nhatumbo</t>
  </si>
  <si>
    <t>Cristiane Macueve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</si>
</sst>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vertAlign val="superscript"/>
      <sz val="12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9BBB59"/>
      </bottom>
      <diagonal/>
    </border>
    <border>
      <left/>
      <right style="medium">
        <color rgb="FF000000"/>
      </right>
      <top/>
      <bottom style="medium">
        <color rgb="FF9BBB5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9BBB59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9BBB59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/>
      <top/>
      <bottom style="medium">
        <color rgb="FF9BC2E6"/>
      </bottom>
      <diagonal/>
    </border>
    <border>
      <left/>
      <right/>
      <top/>
      <bottom style="medium">
        <color rgb="FF9BC2E6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8"/>
    </xf>
    <xf numFmtId="0" fontId="4" fillId="0" borderId="0" xfId="0" applyFont="1"/>
    <xf numFmtId="0" fontId="4" fillId="0" borderId="0" xfId="0" applyFont="1" applyAlignment="1">
      <alignment horizontal="left" vertical="center" indent="5"/>
    </xf>
    <xf numFmtId="0" fontId="5" fillId="0" borderId="8" xfId="0" applyFont="1" applyBorder="1" applyAlignment="1">
      <alignment horizontal="justify" vertical="center" wrapText="1"/>
    </xf>
    <xf numFmtId="0" fontId="7" fillId="0" borderId="0" xfId="0" applyFont="1"/>
    <xf numFmtId="0" fontId="5" fillId="0" borderId="9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1" fillId="0" borderId="22" xfId="0" applyFont="1" applyBorder="1" applyAlignment="1">
      <alignment horizontal="justify" vertical="center" wrapText="1"/>
    </xf>
    <xf numFmtId="0" fontId="1" fillId="0" borderId="23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2" fontId="1" fillId="0" borderId="8" xfId="0" applyNumberFormat="1" applyFont="1" applyBorder="1" applyAlignment="1">
      <alignment horizontal="justify" vertical="center" wrapText="1"/>
    </xf>
    <xf numFmtId="0" fontId="0" fillId="0" borderId="0" xfId="0" applyFill="1"/>
    <xf numFmtId="0" fontId="10" fillId="2" borderId="24" xfId="0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10" fillId="2" borderId="26" xfId="0" applyFont="1" applyFill="1" applyBorder="1" applyAlignment="1">
      <alignment vertical="center"/>
    </xf>
    <xf numFmtId="0" fontId="6" fillId="3" borderId="27" xfId="0" applyFont="1" applyFill="1" applyBorder="1" applyAlignment="1">
      <alignment horizontal="right" vertical="center"/>
    </xf>
    <xf numFmtId="0" fontId="6" fillId="3" borderId="28" xfId="0" applyFont="1" applyFill="1" applyBorder="1" applyAlignment="1">
      <alignment vertical="center"/>
    </xf>
    <xf numFmtId="0" fontId="0" fillId="3" borderId="29" xfId="0" applyFill="1" applyBorder="1"/>
    <xf numFmtId="0" fontId="6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vertical="center"/>
    </xf>
    <xf numFmtId="0" fontId="0" fillId="0" borderId="29" xfId="0" applyBorder="1"/>
    <xf numFmtId="0" fontId="6" fillId="3" borderId="0" xfId="0" applyFont="1" applyFill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0" fillId="0" borderId="28" xfId="0" applyBorder="1"/>
    <xf numFmtId="0" fontId="6" fillId="3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3" borderId="0" xfId="0" applyFill="1" applyBorder="1"/>
    <xf numFmtId="0" fontId="0" fillId="0" borderId="0" xfId="0" applyBorder="1"/>
    <xf numFmtId="0" fontId="6" fillId="0" borderId="19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17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1</xdr:col>
      <xdr:colOff>1009651</xdr:colOff>
      <xdr:row>3</xdr:row>
      <xdr:rowOff>142876</xdr:rowOff>
    </xdr:to>
    <xdr:pic>
      <xdr:nvPicPr>
        <xdr:cNvPr id="2" name="Picture 1" descr="COLÉGIO KOBE VILLE  6°Ano 20200604_085745">
          <a:extLst>
            <a:ext uri="{FF2B5EF4-FFF2-40B4-BE49-F238E27FC236}">
              <a16:creationId xmlns:a16="http://schemas.microsoft.com/office/drawing/2014/main" id="{6194B1F0-C431-49D8-85F4-F3E91B95A0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1"/>
          <a:ext cx="1009650" cy="72390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D33" totalsRowShown="0">
  <autoFilter ref="A5:D33" xr:uid="{00000000-0009-0000-0100-000002000000}"/>
  <sortState ref="A6:D33">
    <sortCondition ref="B5:B33"/>
  </sortState>
  <tableColumns count="4">
    <tableColumn id="1" xr3:uid="{00000000-0010-0000-0000-000001000000}" name="No"/>
    <tableColumn id="2" xr3:uid="{00000000-0010-0000-0000-000002000000}" name="Nomes"/>
    <tableColumn id="4" xr3:uid="{00000000-0010-0000-0000-000004000000}" name="Sexo"/>
    <tableColumn id="3" xr3:uid="{00000000-0010-0000-0000-000003000000}" name="Situ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D21" totalsRowShown="0">
  <autoFilter ref="A2:D21" xr:uid="{00000000-0009-0000-0100-000003000000}"/>
  <sortState ref="A3:D21">
    <sortCondition ref="B2:B21"/>
  </sortState>
  <tableColumns count="4">
    <tableColumn id="1" xr3:uid="{00000000-0010-0000-0100-000001000000}" name="Numero"/>
    <tableColumn id="2" xr3:uid="{00000000-0010-0000-0100-000002000000}" name="Nome"/>
    <tableColumn id="4" xr3:uid="{EE15148C-716D-492B-802B-DD914638DFA5}" name="Situacao"/>
    <tableColumn id="3" xr3:uid="{00000000-0010-0000-0100-000003000000}" name="SEX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3:D28" totalsRowShown="0">
  <autoFilter ref="A3:D28" xr:uid="{00000000-0009-0000-0100-000004000000}"/>
  <sortState ref="A4:D28">
    <sortCondition ref="B3:B28"/>
  </sortState>
  <tableColumns count="4">
    <tableColumn id="1" xr3:uid="{00000000-0010-0000-0200-000001000000}" name="Numero"/>
    <tableColumn id="2" xr3:uid="{00000000-0010-0000-0200-000002000000}" name="Nomes"/>
    <tableColumn id="3" xr3:uid="{00000000-0010-0000-0200-000003000000}" name="Column3"/>
    <tableColumn id="4" xr3:uid="{00000000-0010-0000-0200-000004000000}" name="SEX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6" displayName="Table46" ref="A1:D37" totalsRowShown="0">
  <autoFilter ref="A1:D37" xr:uid="{00000000-0009-0000-0100-000005000000}"/>
  <sortState ref="A2:D37">
    <sortCondition ref="B1:B37"/>
  </sortState>
  <tableColumns count="4">
    <tableColumn id="1" xr3:uid="{00000000-0010-0000-0300-000001000000}" name="Numero"/>
    <tableColumn id="2" xr3:uid="{00000000-0010-0000-0300-000002000000}" name="Nomes"/>
    <tableColumn id="3" xr3:uid="{00000000-0010-0000-0300-000003000000}" name="Column3"/>
    <tableColumn id="5" xr3:uid="{00000000-0010-0000-0300-000005000000}" name="SEX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467" displayName="Table467" ref="A1:D35" totalsRowShown="0">
  <autoFilter ref="A1:D35" xr:uid="{00000000-0009-0000-0100-000006000000}"/>
  <sortState ref="A2:D31">
    <sortCondition ref="B1:B31"/>
  </sortState>
  <tableColumns count="4">
    <tableColumn id="1" xr3:uid="{00000000-0010-0000-0400-000001000000}" name="Numero"/>
    <tableColumn id="2" xr3:uid="{00000000-0010-0000-0400-000002000000}" name="Nomes" dataDxfId="1"/>
    <tableColumn id="5" xr3:uid="{00000000-0010-0000-0400-000005000000}" name="Column1"/>
    <tableColumn id="3" xr3:uid="{00000000-0010-0000-0400-000003000000}" name="Sex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4678" displayName="Table4678" ref="A1:D33" totalsRowShown="0">
  <autoFilter ref="A1:D33" xr:uid="{00000000-0009-0000-0100-000007000000}"/>
  <sortState ref="A2:D33">
    <sortCondition ref="B1:B33"/>
  </sortState>
  <tableColumns count="4">
    <tableColumn id="1" xr3:uid="{00000000-0010-0000-0500-000001000000}" name="Numero"/>
    <tableColumn id="2" xr3:uid="{00000000-0010-0000-0500-000002000000}" name="Nomes"/>
    <tableColumn id="3" xr3:uid="{00000000-0010-0000-0500-000003000000}" name="Column3"/>
    <tableColumn id="4" xr3:uid="{00000000-0010-0000-0500-000004000000}" name="Sex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4679" displayName="Table4679" ref="A1:D33" totalsRowShown="0">
  <autoFilter ref="A1:D33" xr:uid="{00000000-0009-0000-0100-000008000000}"/>
  <sortState ref="A2:D33">
    <sortCondition ref="B1:B33"/>
  </sortState>
  <tableColumns count="4">
    <tableColumn id="1" xr3:uid="{00000000-0010-0000-0600-000001000000}" name="Numero"/>
    <tableColumn id="2" xr3:uid="{00000000-0010-0000-0600-000002000000}" name="Nomes"/>
    <tableColumn id="3" xr3:uid="{00000000-0010-0000-0600-000003000000}" name="Column3"/>
    <tableColumn id="4" xr3:uid="{00000000-0010-0000-0600-000004000000}" name="Column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46710" displayName="Table46710" ref="A1:D20" totalsRowShown="0">
  <autoFilter ref="A1:D20" xr:uid="{00000000-0009-0000-0100-000009000000}"/>
  <sortState ref="A2:D20">
    <sortCondition ref="B1:B20"/>
  </sortState>
  <tableColumns count="4">
    <tableColumn id="1" xr3:uid="{00000000-0010-0000-0700-000001000000}" name="Column1"/>
    <tableColumn id="2" xr3:uid="{00000000-0010-0000-0700-000002000000}" name="Nomes"/>
    <tableColumn id="3" xr3:uid="{00000000-0010-0000-0700-000003000000}" name="Column3"/>
    <tableColumn id="4" xr3:uid="{00000000-0010-0000-0700-000004000000}" name="Column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46711" displayName="Table46711" ref="A1:D18" totalsRowShown="0">
  <autoFilter ref="A1:D18" xr:uid="{00000000-0009-0000-0100-00000A000000}"/>
  <sortState ref="A2:D14">
    <sortCondition ref="B1:B18"/>
  </sortState>
  <tableColumns count="4">
    <tableColumn id="1" xr3:uid="{00000000-0010-0000-0800-000001000000}" name="Numero"/>
    <tableColumn id="2" xr3:uid="{00000000-0010-0000-0800-000002000000}" name="Nomes"/>
    <tableColumn id="3" xr3:uid="{00000000-0010-0000-0800-000003000000}" name="Column3"/>
    <tableColumn id="4" xr3:uid="{00000000-0010-0000-0800-000004000000}" name="SEX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46712" displayName="Table46712" ref="A1:D18" totalsRowShown="0">
  <autoFilter ref="A1:D18" xr:uid="{00000000-0009-0000-0100-00000B000000}"/>
  <sortState ref="A2:D18">
    <sortCondition ref="B1:B18"/>
  </sortState>
  <tableColumns count="4">
    <tableColumn id="1" xr3:uid="{00000000-0010-0000-0900-000001000000}" name="Numero"/>
    <tableColumn id="2" xr3:uid="{00000000-0010-0000-0900-000002000000}" name="Nomes"/>
    <tableColumn id="3" xr3:uid="{00000000-0010-0000-0900-000003000000}" name="Column3"/>
    <tableColumn id="4" xr3:uid="{00000000-0010-0000-0900-000004000000}" name="SEX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46713" displayName="Table46713" ref="A1:D18" totalsRowShown="0">
  <autoFilter ref="A1:D18" xr:uid="{00000000-0009-0000-0100-00000C000000}"/>
  <sortState ref="A2:D8">
    <sortCondition ref="B1:B18"/>
  </sortState>
  <tableColumns count="4">
    <tableColumn id="1" xr3:uid="{00000000-0010-0000-0A00-000001000000}" name="Numero"/>
    <tableColumn id="2" xr3:uid="{00000000-0010-0000-0A00-000002000000}" name="Nomes"/>
    <tableColumn id="3" xr3:uid="{00000000-0010-0000-0A00-000003000000}" name="Column3"/>
    <tableColumn id="4" xr3:uid="{00000000-0010-0000-0A00-000004000000}" name="Column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e46714" displayName="Table46714" ref="A1:C18" totalsRowShown="0">
  <autoFilter ref="A1:C18" xr:uid="{00000000-0009-0000-0100-00000D000000}"/>
  <sortState ref="A2:C18">
    <sortCondition ref="B1:B18"/>
  </sortState>
  <tableColumns count="3">
    <tableColumn id="1" xr3:uid="{00000000-0010-0000-0B00-000001000000}" name="Numero"/>
    <tableColumn id="2" xr3:uid="{00000000-0010-0000-0B00-000002000000}" name="Nomes"/>
    <tableColumn id="3" xr3:uid="{00000000-0010-0000-0B00-000003000000}" name="Column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D71AB-0A17-4005-B185-C06A2C49A7F7}" name="Table1" displayName="Table1" ref="A4:C20" totalsRowShown="0">
  <autoFilter ref="A4:C20" xr:uid="{5528D29E-A44D-4383-9425-5075325BFBFF}"/>
  <tableColumns count="3">
    <tableColumn id="1" xr3:uid="{9F365504-451F-463A-9C70-837255399253}" name="Nome"/>
    <tableColumn id="2" xr3:uid="{327F5D16-8972-4934-84F2-B1D6AC722DAF}" name="Classe"/>
    <tableColumn id="3" xr3:uid="{E76B0B23-A413-4A9D-BAF3-CB95EEE54CCD}" name="Valor" dataDxfId="0">
      <calculatedColumnFormula>SUM(2100/2)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e46715" displayName="Table46715" ref="A1:C18" totalsRowShown="0">
  <autoFilter ref="A1:C18" xr:uid="{00000000-0009-0000-0100-00000E000000}"/>
  <tableColumns count="3">
    <tableColumn id="1" xr3:uid="{00000000-0010-0000-0C00-000001000000}" name="Numero"/>
    <tableColumn id="2" xr3:uid="{00000000-0010-0000-0C00-000002000000}" name="Nomes"/>
    <tableColumn id="3" xr3:uid="{00000000-0010-0000-0C00-000003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9" workbookViewId="0">
      <selection activeCell="C28" sqref="C28"/>
    </sheetView>
  </sheetViews>
  <sheetFormatPr defaultRowHeight="15" x14ac:dyDescent="0.25"/>
  <cols>
    <col min="1" max="1" width="11.28515625" customWidth="1"/>
    <col min="10" max="10" width="9.7109375" bestFit="1" customWidth="1"/>
    <col min="12" max="12" width="24.28515625" customWidth="1"/>
    <col min="13" max="14" width="15.85546875" customWidth="1"/>
    <col min="15" max="15" width="15.140625" customWidth="1"/>
    <col min="16" max="16" width="20.7109375" customWidth="1"/>
  </cols>
  <sheetData>
    <row r="1" spans="1:16" ht="18.75" x14ac:dyDescent="0.25">
      <c r="A1" s="1" t="s">
        <v>0</v>
      </c>
    </row>
    <row r="2" spans="1:16" ht="18.75" x14ac:dyDescent="0.25">
      <c r="A2" s="1"/>
    </row>
    <row r="3" spans="1:16" ht="47.25" x14ac:dyDescent="0.25">
      <c r="A3" s="2" t="s">
        <v>1</v>
      </c>
    </row>
    <row r="4" spans="1:16" ht="16.5" thickBot="1" x14ac:dyDescent="0.3">
      <c r="A4" s="3"/>
    </row>
    <row r="5" spans="1:16" x14ac:dyDescent="0.25">
      <c r="A5" s="52" t="s">
        <v>2</v>
      </c>
      <c r="B5" s="55" t="s">
        <v>4</v>
      </c>
      <c r="C5" s="56"/>
      <c r="D5" s="57"/>
      <c r="E5" s="61" t="s">
        <v>5</v>
      </c>
      <c r="F5" s="56"/>
      <c r="G5" s="57"/>
      <c r="H5" s="61" t="s">
        <v>3</v>
      </c>
      <c r="I5" s="56"/>
      <c r="J5" s="57"/>
      <c r="K5" s="4"/>
    </row>
    <row r="6" spans="1:16" ht="32.25" customHeight="1" thickBot="1" x14ac:dyDescent="0.3">
      <c r="A6" s="53"/>
      <c r="B6" s="58"/>
      <c r="C6" s="59"/>
      <c r="D6" s="60"/>
      <c r="E6" s="62"/>
      <c r="F6" s="59"/>
      <c r="G6" s="60"/>
      <c r="H6" s="62"/>
      <c r="I6" s="59"/>
      <c r="J6" s="60"/>
      <c r="K6" s="4"/>
    </row>
    <row r="7" spans="1:16" ht="16.5" thickBot="1" x14ac:dyDescent="0.3">
      <c r="A7" s="54"/>
      <c r="B7" s="10" t="s">
        <v>6</v>
      </c>
      <c r="C7" s="12" t="s">
        <v>7</v>
      </c>
      <c r="D7" s="10" t="s">
        <v>8</v>
      </c>
      <c r="E7" s="10" t="s">
        <v>6</v>
      </c>
      <c r="F7" s="12" t="s">
        <v>7</v>
      </c>
      <c r="G7" s="10" t="s">
        <v>8</v>
      </c>
      <c r="H7" s="10" t="s">
        <v>6</v>
      </c>
      <c r="I7" s="12" t="s">
        <v>7</v>
      </c>
      <c r="J7" s="10" t="s">
        <v>8</v>
      </c>
      <c r="K7" s="4"/>
      <c r="L7" s="16" t="s">
        <v>189</v>
      </c>
      <c r="M7" s="17" t="s">
        <v>204</v>
      </c>
      <c r="N7" s="17" t="s">
        <v>327</v>
      </c>
      <c r="O7" s="17" t="s">
        <v>190</v>
      </c>
      <c r="P7" s="17" t="s">
        <v>191</v>
      </c>
    </row>
    <row r="8" spans="1:16" ht="20.25" customHeight="1" thickBot="1" x14ac:dyDescent="0.3">
      <c r="A8" s="13"/>
      <c r="B8" s="40">
        <v>1</v>
      </c>
      <c r="C8" s="42">
        <v>0</v>
      </c>
      <c r="D8" s="38">
        <f>SUM(B8:C9)</f>
        <v>1</v>
      </c>
      <c r="E8" s="40">
        <v>9</v>
      </c>
      <c r="F8" s="42">
        <v>18</v>
      </c>
      <c r="G8" s="38">
        <f>SUM(E8:F9)</f>
        <v>27</v>
      </c>
      <c r="H8" s="40">
        <f>SUM(B8+E8)</f>
        <v>10</v>
      </c>
      <c r="I8" s="42">
        <f>SUM(C8+F8)</f>
        <v>18</v>
      </c>
      <c r="J8" s="44">
        <f>SUM(H8:I9)</f>
        <v>28</v>
      </c>
      <c r="K8" s="4"/>
      <c r="L8" s="18" t="s">
        <v>192</v>
      </c>
      <c r="M8" s="19">
        <f>J8</f>
        <v>28</v>
      </c>
      <c r="N8" s="19">
        <v>0</v>
      </c>
      <c r="O8" s="20">
        <v>1890</v>
      </c>
      <c r="P8" s="20">
        <f>SUM(M8-N8/2)*O8</f>
        <v>52920</v>
      </c>
    </row>
    <row r="9" spans="1:16" ht="19.5" thickBot="1" x14ac:dyDescent="0.3">
      <c r="A9" s="14" t="s">
        <v>153</v>
      </c>
      <c r="B9" s="41"/>
      <c r="C9" s="43"/>
      <c r="D9" s="39"/>
      <c r="E9" s="41"/>
      <c r="F9" s="43"/>
      <c r="G9" s="39"/>
      <c r="H9" s="41"/>
      <c r="I9" s="43"/>
      <c r="J9" s="45"/>
      <c r="K9" s="4"/>
      <c r="L9" s="18" t="s">
        <v>193</v>
      </c>
      <c r="M9" s="19">
        <f>J10</f>
        <v>18</v>
      </c>
      <c r="N9" s="19">
        <v>0</v>
      </c>
      <c r="O9" s="20">
        <v>1995</v>
      </c>
      <c r="P9" s="20">
        <f t="shared" ref="P9:P19" si="0">SUM(M9-N9/2)*O9</f>
        <v>35910</v>
      </c>
    </row>
    <row r="10" spans="1:16" ht="15" customHeight="1" thickBot="1" x14ac:dyDescent="0.3">
      <c r="A10" s="51" t="s">
        <v>154</v>
      </c>
      <c r="B10" s="49">
        <v>10</v>
      </c>
      <c r="C10" s="50">
        <v>8</v>
      </c>
      <c r="D10" s="38">
        <f t="shared" ref="D10" si="1">SUM(B10:C11)</f>
        <v>18</v>
      </c>
      <c r="E10" s="49">
        <v>0</v>
      </c>
      <c r="F10" s="50">
        <v>0</v>
      </c>
      <c r="G10" s="38">
        <v>0</v>
      </c>
      <c r="H10" s="40">
        <f t="shared" ref="H10" si="2">SUM(B10+E10)</f>
        <v>10</v>
      </c>
      <c r="I10" s="42">
        <f t="shared" ref="I10" si="3">SUM(C10+F10)</f>
        <v>8</v>
      </c>
      <c r="J10" s="44">
        <f t="shared" ref="J10" si="4">SUM(H10:I11)</f>
        <v>18</v>
      </c>
      <c r="K10" s="4"/>
      <c r="L10" s="18" t="s">
        <v>194</v>
      </c>
      <c r="M10" s="19">
        <f>J12</f>
        <v>25</v>
      </c>
      <c r="N10" s="19">
        <v>1</v>
      </c>
      <c r="O10" s="20">
        <v>1995</v>
      </c>
      <c r="P10" s="20">
        <f t="shared" si="0"/>
        <v>48877.5</v>
      </c>
    </row>
    <row r="11" spans="1:16" ht="15.75" customHeight="1" thickBot="1" x14ac:dyDescent="0.3">
      <c r="A11" s="48"/>
      <c r="B11" s="41"/>
      <c r="C11" s="43"/>
      <c r="D11" s="39"/>
      <c r="E11" s="41"/>
      <c r="F11" s="43"/>
      <c r="G11" s="39"/>
      <c r="H11" s="41"/>
      <c r="I11" s="43"/>
      <c r="J11" s="45"/>
      <c r="K11" s="4"/>
      <c r="L11" s="18" t="s">
        <v>195</v>
      </c>
      <c r="M11" s="19">
        <f>J14</f>
        <v>36</v>
      </c>
      <c r="N11" s="19">
        <v>0</v>
      </c>
      <c r="O11" s="20">
        <v>2100</v>
      </c>
      <c r="P11" s="20">
        <f t="shared" si="0"/>
        <v>75600</v>
      </c>
    </row>
    <row r="12" spans="1:16" ht="15" customHeight="1" thickBot="1" x14ac:dyDescent="0.3">
      <c r="A12" s="47" t="s">
        <v>155</v>
      </c>
      <c r="B12" s="49">
        <v>11</v>
      </c>
      <c r="C12" s="50">
        <v>10</v>
      </c>
      <c r="D12" s="38">
        <f t="shared" ref="D12" si="5">SUM(B12:C13)</f>
        <v>21</v>
      </c>
      <c r="E12" s="49">
        <v>3</v>
      </c>
      <c r="F12" s="50">
        <v>1</v>
      </c>
      <c r="G12" s="38">
        <f t="shared" ref="G12" si="6">SUM(E12:F13)</f>
        <v>4</v>
      </c>
      <c r="H12" s="40">
        <f t="shared" ref="H12:H18" si="7">SUM(B12+E12)</f>
        <v>14</v>
      </c>
      <c r="I12" s="42">
        <f>SUM(C12+F12)</f>
        <v>11</v>
      </c>
      <c r="J12" s="44">
        <f t="shared" ref="J12" si="8">SUM(H12:I13)</f>
        <v>25</v>
      </c>
      <c r="K12" s="4"/>
      <c r="L12" s="18" t="s">
        <v>196</v>
      </c>
      <c r="M12" s="19">
        <f>J16</f>
        <v>35</v>
      </c>
      <c r="N12" s="19">
        <v>2</v>
      </c>
      <c r="O12" s="20">
        <v>2100</v>
      </c>
      <c r="P12" s="20">
        <f t="shared" si="0"/>
        <v>71400</v>
      </c>
    </row>
    <row r="13" spans="1:16" ht="15.75" customHeight="1" thickBot="1" x14ac:dyDescent="0.3">
      <c r="A13" s="48"/>
      <c r="B13" s="41"/>
      <c r="C13" s="43"/>
      <c r="D13" s="39"/>
      <c r="E13" s="41"/>
      <c r="F13" s="43"/>
      <c r="G13" s="39"/>
      <c r="H13" s="41"/>
      <c r="I13" s="43"/>
      <c r="J13" s="45"/>
      <c r="K13" s="4">
        <f ca="1">J12:K17</f>
        <v>0</v>
      </c>
      <c r="L13" s="18" t="s">
        <v>197</v>
      </c>
      <c r="M13" s="19">
        <f>J18</f>
        <v>44</v>
      </c>
      <c r="N13" s="19">
        <v>0</v>
      </c>
      <c r="O13" s="20">
        <v>2100</v>
      </c>
      <c r="P13" s="20">
        <f t="shared" si="0"/>
        <v>92400</v>
      </c>
    </row>
    <row r="14" spans="1:16" ht="15" customHeight="1" thickBot="1" x14ac:dyDescent="0.3">
      <c r="A14" s="47" t="s">
        <v>156</v>
      </c>
      <c r="B14" s="49">
        <v>17</v>
      </c>
      <c r="C14" s="50">
        <v>17</v>
      </c>
      <c r="D14" s="38">
        <f t="shared" ref="D14" si="9">SUM(B14:C15)</f>
        <v>34</v>
      </c>
      <c r="E14" s="49">
        <v>1</v>
      </c>
      <c r="F14" s="50">
        <v>1</v>
      </c>
      <c r="G14" s="38">
        <f t="shared" ref="G14" si="10">SUM(E14:F15)</f>
        <v>2</v>
      </c>
      <c r="H14" s="40">
        <f t="shared" si="7"/>
        <v>18</v>
      </c>
      <c r="I14" s="42">
        <f t="shared" ref="I14" si="11">SUM(C14+F14)</f>
        <v>18</v>
      </c>
      <c r="J14" s="44">
        <f>SUM(H14:I15)</f>
        <v>36</v>
      </c>
      <c r="K14" s="4"/>
      <c r="L14" s="18" t="s">
        <v>198</v>
      </c>
      <c r="M14" s="19">
        <f>J20</f>
        <v>32</v>
      </c>
      <c r="N14" s="19">
        <v>0</v>
      </c>
      <c r="O14" s="20">
        <v>2700</v>
      </c>
      <c r="P14" s="20">
        <f t="shared" si="0"/>
        <v>86400</v>
      </c>
    </row>
    <row r="15" spans="1:16" ht="15.75" customHeight="1" thickBot="1" x14ac:dyDescent="0.3">
      <c r="A15" s="48"/>
      <c r="B15" s="41"/>
      <c r="C15" s="43"/>
      <c r="D15" s="39"/>
      <c r="E15" s="41"/>
      <c r="F15" s="43"/>
      <c r="G15" s="39"/>
      <c r="H15" s="41"/>
      <c r="I15" s="43"/>
      <c r="J15" s="45"/>
      <c r="K15" s="4"/>
      <c r="L15" s="18" t="s">
        <v>199</v>
      </c>
      <c r="M15" s="19">
        <f>J22</f>
        <v>17</v>
      </c>
      <c r="N15" s="19">
        <v>1</v>
      </c>
      <c r="O15" s="20">
        <v>3045</v>
      </c>
      <c r="P15" s="20">
        <f t="shared" si="0"/>
        <v>50242.5</v>
      </c>
    </row>
    <row r="16" spans="1:16" ht="19.5" thickBot="1" x14ac:dyDescent="0.3">
      <c r="A16" s="15"/>
      <c r="B16" s="49">
        <v>6</v>
      </c>
      <c r="C16" s="50">
        <v>26</v>
      </c>
      <c r="D16" s="38">
        <f t="shared" ref="D16" si="12">SUM(B16:C17)</f>
        <v>32</v>
      </c>
      <c r="E16" s="49">
        <v>3</v>
      </c>
      <c r="F16" s="50">
        <v>0</v>
      </c>
      <c r="G16" s="38">
        <f t="shared" ref="G16" si="13">SUM(E16:F17)</f>
        <v>3</v>
      </c>
      <c r="H16" s="40">
        <f t="shared" si="7"/>
        <v>9</v>
      </c>
      <c r="I16" s="42">
        <f t="shared" ref="I16" si="14">SUM(C16+F16)</f>
        <v>26</v>
      </c>
      <c r="J16" s="44">
        <f t="shared" ref="J16" si="15">SUM(H16:I17)</f>
        <v>35</v>
      </c>
      <c r="K16" s="4"/>
      <c r="L16" s="18" t="s">
        <v>200</v>
      </c>
      <c r="M16" s="19">
        <f>J24</f>
        <v>14</v>
      </c>
      <c r="N16" s="19">
        <v>1</v>
      </c>
      <c r="O16" s="20">
        <v>3100</v>
      </c>
      <c r="P16" s="20">
        <f t="shared" si="0"/>
        <v>41850</v>
      </c>
    </row>
    <row r="17" spans="1:16" ht="19.5" customHeight="1" thickBot="1" x14ac:dyDescent="0.3">
      <c r="A17" s="14" t="s">
        <v>157</v>
      </c>
      <c r="B17" s="41"/>
      <c r="C17" s="43"/>
      <c r="D17" s="39"/>
      <c r="E17" s="41"/>
      <c r="F17" s="43"/>
      <c r="G17" s="39"/>
      <c r="H17" s="41"/>
      <c r="I17" s="43"/>
      <c r="J17" s="45"/>
      <c r="K17" s="4"/>
      <c r="L17" s="18" t="s">
        <v>201</v>
      </c>
      <c r="M17" s="19">
        <f>J26</f>
        <v>17</v>
      </c>
      <c r="N17" s="19">
        <v>0</v>
      </c>
      <c r="O17" s="20">
        <v>3300</v>
      </c>
      <c r="P17" s="20">
        <f t="shared" si="0"/>
        <v>56100</v>
      </c>
    </row>
    <row r="18" spans="1:16" ht="15" customHeight="1" thickBot="1" x14ac:dyDescent="0.3">
      <c r="A18" s="51" t="s">
        <v>158</v>
      </c>
      <c r="B18" s="49">
        <v>14</v>
      </c>
      <c r="C18" s="50">
        <v>9</v>
      </c>
      <c r="D18" s="38">
        <f t="shared" ref="D18" si="16">SUM(B18:C19)</f>
        <v>23</v>
      </c>
      <c r="E18" s="49">
        <v>10</v>
      </c>
      <c r="F18" s="50">
        <v>11</v>
      </c>
      <c r="G18" s="38">
        <f t="shared" ref="G18" si="17">SUM(E18:F19)</f>
        <v>21</v>
      </c>
      <c r="H18" s="40">
        <f t="shared" si="7"/>
        <v>24</v>
      </c>
      <c r="I18" s="42">
        <f t="shared" ref="I18" si="18">SUM(C18+F18)</f>
        <v>20</v>
      </c>
      <c r="J18" s="44">
        <f t="shared" ref="J18" si="19">SUM(H18:I19)</f>
        <v>44</v>
      </c>
      <c r="K18" s="4"/>
      <c r="L18" s="18" t="s">
        <v>202</v>
      </c>
      <c r="M18" s="19">
        <f>J28</f>
        <v>7</v>
      </c>
      <c r="N18" s="19">
        <v>1</v>
      </c>
      <c r="O18" s="20">
        <v>3500</v>
      </c>
      <c r="P18" s="20">
        <f t="shared" si="0"/>
        <v>22750</v>
      </c>
    </row>
    <row r="19" spans="1:16" ht="15.75" customHeight="1" thickBot="1" x14ac:dyDescent="0.3">
      <c r="A19" s="48"/>
      <c r="B19" s="41"/>
      <c r="C19" s="43"/>
      <c r="D19" s="39"/>
      <c r="E19" s="41"/>
      <c r="F19" s="43"/>
      <c r="G19" s="39"/>
      <c r="H19" s="41"/>
      <c r="I19" s="43"/>
      <c r="J19" s="45"/>
      <c r="K19" s="4"/>
      <c r="L19" s="18" t="s">
        <v>203</v>
      </c>
      <c r="M19" s="19">
        <f>J30</f>
        <v>6</v>
      </c>
      <c r="N19" s="19">
        <v>0</v>
      </c>
      <c r="O19" s="20">
        <v>3700</v>
      </c>
      <c r="P19" s="20">
        <f t="shared" si="0"/>
        <v>22200</v>
      </c>
    </row>
    <row r="20" spans="1:16" ht="15" customHeight="1" thickBot="1" x14ac:dyDescent="0.3">
      <c r="A20" s="47" t="s">
        <v>159</v>
      </c>
      <c r="B20" s="49">
        <v>12</v>
      </c>
      <c r="C20" s="50">
        <v>12</v>
      </c>
      <c r="D20" s="38">
        <f t="shared" ref="D20" si="20">SUM(B20:C21)</f>
        <v>24</v>
      </c>
      <c r="E20" s="49">
        <v>4</v>
      </c>
      <c r="F20" s="50">
        <v>4</v>
      </c>
      <c r="G20" s="38">
        <v>2</v>
      </c>
      <c r="H20" s="40">
        <f>SUM(B20+E20)</f>
        <v>16</v>
      </c>
      <c r="I20" s="42">
        <f t="shared" ref="I20" si="21">SUM(C20+F20)</f>
        <v>16</v>
      </c>
      <c r="J20" s="44">
        <f>SUM(H20:I21)</f>
        <v>32</v>
      </c>
      <c r="K20" s="4"/>
      <c r="L20" s="18" t="s">
        <v>3</v>
      </c>
      <c r="M20" s="19">
        <f>SUM(M8:M19)</f>
        <v>279</v>
      </c>
      <c r="N20" s="19">
        <f>SUM(N8:N19)</f>
        <v>6</v>
      </c>
      <c r="O20" s="20">
        <f>SUM(O8:O19)</f>
        <v>31525</v>
      </c>
      <c r="P20" s="20">
        <f>SUM(P8:P19)</f>
        <v>656650</v>
      </c>
    </row>
    <row r="21" spans="1:16" ht="15.75" customHeight="1" thickBot="1" x14ac:dyDescent="0.3">
      <c r="A21" s="48"/>
      <c r="B21" s="41"/>
      <c r="C21" s="43"/>
      <c r="D21" s="39"/>
      <c r="E21" s="41"/>
      <c r="F21" s="43"/>
      <c r="G21" s="39"/>
      <c r="H21" s="41"/>
      <c r="I21" s="43"/>
      <c r="J21" s="45"/>
      <c r="K21" s="4"/>
      <c r="L21" s="2"/>
      <c r="M21" s="2"/>
      <c r="N21" s="2"/>
    </row>
    <row r="22" spans="1:16" ht="15.75" customHeight="1" x14ac:dyDescent="0.25">
      <c r="A22" s="47" t="s">
        <v>160</v>
      </c>
      <c r="B22" s="49">
        <v>8</v>
      </c>
      <c r="C22" s="50">
        <v>4</v>
      </c>
      <c r="D22" s="38">
        <f t="shared" ref="D22" si="22">SUM(B22:C23)</f>
        <v>12</v>
      </c>
      <c r="E22" s="49">
        <v>5</v>
      </c>
      <c r="F22" s="50">
        <v>0</v>
      </c>
      <c r="G22" s="38">
        <f t="shared" ref="G22:G26" si="23">SUM(E22:F23)</f>
        <v>5</v>
      </c>
      <c r="H22" s="40">
        <f>SUM(B22+E22)</f>
        <v>13</v>
      </c>
      <c r="I22" s="42">
        <f t="shared" ref="I22" si="24">SUM(C22+F22)</f>
        <v>4</v>
      </c>
      <c r="J22" s="44">
        <f>SUM(H22:I23)</f>
        <v>17</v>
      </c>
      <c r="K22" s="4"/>
    </row>
    <row r="23" spans="1:16" ht="15.75" customHeight="1" thickBot="1" x14ac:dyDescent="0.3">
      <c r="A23" s="48"/>
      <c r="B23" s="41"/>
      <c r="C23" s="43"/>
      <c r="D23" s="39"/>
      <c r="E23" s="41"/>
      <c r="F23" s="43"/>
      <c r="G23" s="39"/>
      <c r="H23" s="41"/>
      <c r="I23" s="43"/>
      <c r="J23" s="45"/>
      <c r="K23" s="4"/>
    </row>
    <row r="24" spans="1:16" ht="15.75" customHeight="1" x14ac:dyDescent="0.25">
      <c r="A24" s="47" t="s">
        <v>161</v>
      </c>
      <c r="B24" s="49">
        <v>7</v>
      </c>
      <c r="C24" s="50">
        <v>6</v>
      </c>
      <c r="D24" s="38">
        <f t="shared" ref="D24" si="25">SUM(B24:C25)</f>
        <v>13</v>
      </c>
      <c r="E24" s="49">
        <v>0</v>
      </c>
      <c r="F24" s="50">
        <v>1</v>
      </c>
      <c r="G24" s="38">
        <f t="shared" si="23"/>
        <v>1</v>
      </c>
      <c r="H24" s="40">
        <f>SUM(B24+E24)</f>
        <v>7</v>
      </c>
      <c r="I24" s="42">
        <f t="shared" ref="I24" si="26">SUM(C24+F24)</f>
        <v>7</v>
      </c>
      <c r="J24" s="44">
        <f>SUM(H24:I25)</f>
        <v>14</v>
      </c>
      <c r="K24" s="4"/>
    </row>
    <row r="25" spans="1:16" ht="15.75" customHeight="1" thickBot="1" x14ac:dyDescent="0.3">
      <c r="A25" s="48"/>
      <c r="B25" s="41"/>
      <c r="C25" s="43"/>
      <c r="D25" s="39"/>
      <c r="E25" s="41"/>
      <c r="F25" s="43"/>
      <c r="G25" s="39"/>
      <c r="H25" s="41"/>
      <c r="I25" s="43"/>
      <c r="J25" s="45"/>
      <c r="K25" s="4"/>
    </row>
    <row r="26" spans="1:16" ht="15.75" customHeight="1" x14ac:dyDescent="0.25">
      <c r="A26" s="47" t="s">
        <v>162</v>
      </c>
      <c r="B26" s="49">
        <v>6</v>
      </c>
      <c r="C26" s="50">
        <v>4</v>
      </c>
      <c r="D26" s="38">
        <f>SUM(B26:C27)</f>
        <v>10</v>
      </c>
      <c r="E26" s="49">
        <v>5</v>
      </c>
      <c r="F26" s="50">
        <v>2</v>
      </c>
      <c r="G26" s="38">
        <f t="shared" si="23"/>
        <v>7</v>
      </c>
      <c r="H26" s="40">
        <f>SUM(B26+E26)</f>
        <v>11</v>
      </c>
      <c r="I26" s="42">
        <f t="shared" ref="I26" si="27">SUM(C26+F26)</f>
        <v>6</v>
      </c>
      <c r="J26" s="44">
        <f>SUM(H26:I27)</f>
        <v>17</v>
      </c>
      <c r="K26" s="4"/>
    </row>
    <row r="27" spans="1:16" ht="15.75" customHeight="1" thickBot="1" x14ac:dyDescent="0.3">
      <c r="A27" s="48"/>
      <c r="B27" s="41"/>
      <c r="C27" s="43"/>
      <c r="D27" s="39"/>
      <c r="E27" s="41"/>
      <c r="F27" s="43"/>
      <c r="G27" s="39"/>
      <c r="H27" s="41"/>
      <c r="I27" s="43"/>
      <c r="J27" s="45"/>
      <c r="K27" s="4"/>
    </row>
    <row r="28" spans="1:16" ht="15" customHeight="1" x14ac:dyDescent="0.25">
      <c r="A28" s="11" t="s">
        <v>163</v>
      </c>
      <c r="B28">
        <v>0</v>
      </c>
      <c r="C28">
        <v>2</v>
      </c>
      <c r="D28" s="38">
        <f>SUM(B28:C29)</f>
        <v>2</v>
      </c>
      <c r="E28">
        <v>3</v>
      </c>
      <c r="F28">
        <v>2</v>
      </c>
      <c r="G28" s="46">
        <v>3</v>
      </c>
      <c r="H28" s="40">
        <f>SUM(B28+E28)</f>
        <v>3</v>
      </c>
      <c r="I28" s="42">
        <f t="shared" ref="I28" si="28">SUM(C28+F28)</f>
        <v>4</v>
      </c>
      <c r="J28" s="44">
        <f>SUM(H28:I29)</f>
        <v>7</v>
      </c>
      <c r="K28" s="4"/>
    </row>
    <row r="29" spans="1:16" ht="15.75" customHeight="1" thickBot="1" x14ac:dyDescent="0.3">
      <c r="A29" s="11"/>
      <c r="D29" s="39"/>
      <c r="G29" s="39"/>
      <c r="H29" s="41"/>
      <c r="I29" s="43"/>
      <c r="J29" s="45"/>
      <c r="K29" s="4"/>
    </row>
    <row r="30" spans="1:16" ht="15" customHeight="1" x14ac:dyDescent="0.25">
      <c r="A30" s="11" t="s">
        <v>164</v>
      </c>
      <c r="B30">
        <v>4</v>
      </c>
      <c r="C30">
        <v>1</v>
      </c>
      <c r="D30" s="38">
        <f>SUM(B30:C31)</f>
        <v>5</v>
      </c>
      <c r="E30">
        <v>0</v>
      </c>
      <c r="F30">
        <v>1</v>
      </c>
      <c r="G30">
        <v>0</v>
      </c>
      <c r="H30" s="40">
        <f>SUM(B30+E30)</f>
        <v>4</v>
      </c>
      <c r="I30" s="42">
        <f t="shared" ref="I30" si="29">SUM(C30+F30)</f>
        <v>2</v>
      </c>
      <c r="J30" s="44">
        <f>SUM(H30:I31)</f>
        <v>6</v>
      </c>
      <c r="K30" s="4"/>
    </row>
    <row r="31" spans="1:16" ht="15.75" customHeight="1" thickBot="1" x14ac:dyDescent="0.3">
      <c r="A31" s="11"/>
      <c r="D31" s="39"/>
      <c r="H31" s="41"/>
      <c r="I31" s="43"/>
      <c r="J31" s="45"/>
      <c r="K31" s="4"/>
    </row>
    <row r="32" spans="1:16" ht="15.75" customHeight="1" x14ac:dyDescent="0.25">
      <c r="A32" s="11" t="s">
        <v>3</v>
      </c>
      <c r="B32" s="11">
        <f>SUM(B8:B30)</f>
        <v>96</v>
      </c>
      <c r="C32" s="11">
        <f t="shared" ref="C32:J32" si="30">SUM(C8:C30)</f>
        <v>99</v>
      </c>
      <c r="D32" s="11">
        <f t="shared" si="30"/>
        <v>195</v>
      </c>
      <c r="E32" s="11">
        <f t="shared" si="30"/>
        <v>43</v>
      </c>
      <c r="F32" s="11">
        <f t="shared" si="30"/>
        <v>41</v>
      </c>
      <c r="G32" s="11">
        <f t="shared" si="30"/>
        <v>75</v>
      </c>
      <c r="H32" s="11">
        <f t="shared" si="30"/>
        <v>139</v>
      </c>
      <c r="I32" s="11">
        <f t="shared" si="30"/>
        <v>140</v>
      </c>
      <c r="J32" s="11">
        <f t="shared" si="30"/>
        <v>279</v>
      </c>
      <c r="K32" s="4"/>
    </row>
    <row r="33" spans="11:11" ht="15.75" customHeight="1" x14ac:dyDescent="0.25">
      <c r="K33" s="4"/>
    </row>
  </sheetData>
  <mergeCells count="111">
    <mergeCell ref="A10:A11"/>
    <mergeCell ref="B10:B11"/>
    <mergeCell ref="C10:C11"/>
    <mergeCell ref="D10:D11"/>
    <mergeCell ref="H10:H11"/>
    <mergeCell ref="I10:I11"/>
    <mergeCell ref="J10:J11"/>
    <mergeCell ref="A5:A7"/>
    <mergeCell ref="B8:B9"/>
    <mergeCell ref="C8:C9"/>
    <mergeCell ref="D8:D9"/>
    <mergeCell ref="H8:H9"/>
    <mergeCell ref="I8:I9"/>
    <mergeCell ref="J8:J9"/>
    <mergeCell ref="B5:D6"/>
    <mergeCell ref="H5:J6"/>
    <mergeCell ref="E5:G6"/>
    <mergeCell ref="E8:E9"/>
    <mergeCell ref="F8:F9"/>
    <mergeCell ref="G8:G9"/>
    <mergeCell ref="E10:E11"/>
    <mergeCell ref="F10:F11"/>
    <mergeCell ref="G10:G11"/>
    <mergeCell ref="A14:A15"/>
    <mergeCell ref="B14:B15"/>
    <mergeCell ref="C14:C15"/>
    <mergeCell ref="D14:D15"/>
    <mergeCell ref="H14:H15"/>
    <mergeCell ref="I14:I15"/>
    <mergeCell ref="J14:J15"/>
    <mergeCell ref="A12:A13"/>
    <mergeCell ref="B12:B13"/>
    <mergeCell ref="C12:C13"/>
    <mergeCell ref="D12:D13"/>
    <mergeCell ref="H12:H13"/>
    <mergeCell ref="I12:I13"/>
    <mergeCell ref="E12:E13"/>
    <mergeCell ref="F12:F13"/>
    <mergeCell ref="G12:G13"/>
    <mergeCell ref="E14:E15"/>
    <mergeCell ref="F14:F15"/>
    <mergeCell ref="G14:G15"/>
    <mergeCell ref="J12:J13"/>
    <mergeCell ref="A18:A19"/>
    <mergeCell ref="B18:B19"/>
    <mergeCell ref="C18:C19"/>
    <mergeCell ref="D18:D19"/>
    <mergeCell ref="H18:H19"/>
    <mergeCell ref="I18:I19"/>
    <mergeCell ref="J18:J19"/>
    <mergeCell ref="E18:E19"/>
    <mergeCell ref="B16:B17"/>
    <mergeCell ref="C16:C17"/>
    <mergeCell ref="D16:D17"/>
    <mergeCell ref="H16:H17"/>
    <mergeCell ref="I16:I17"/>
    <mergeCell ref="J16:J17"/>
    <mergeCell ref="E16:E17"/>
    <mergeCell ref="F16:F17"/>
    <mergeCell ref="G16:G17"/>
    <mergeCell ref="F18:F19"/>
    <mergeCell ref="G18:G19"/>
    <mergeCell ref="J20:J21"/>
    <mergeCell ref="A22:A23"/>
    <mergeCell ref="B22:B23"/>
    <mergeCell ref="C22:C23"/>
    <mergeCell ref="D22:D23"/>
    <mergeCell ref="H22:H23"/>
    <mergeCell ref="I22:I23"/>
    <mergeCell ref="J22:J23"/>
    <mergeCell ref="A20:A21"/>
    <mergeCell ref="B20:B21"/>
    <mergeCell ref="C20:C21"/>
    <mergeCell ref="D20:D21"/>
    <mergeCell ref="H20:H21"/>
    <mergeCell ref="I20:I21"/>
    <mergeCell ref="E20:E21"/>
    <mergeCell ref="F20:F21"/>
    <mergeCell ref="G20:G21"/>
    <mergeCell ref="E22:E23"/>
    <mergeCell ref="F22:F23"/>
    <mergeCell ref="G22:G23"/>
    <mergeCell ref="J24:J25"/>
    <mergeCell ref="A26:A27"/>
    <mergeCell ref="B26:B27"/>
    <mergeCell ref="C26:C27"/>
    <mergeCell ref="D26:D27"/>
    <mergeCell ref="H26:H27"/>
    <mergeCell ref="I26:I27"/>
    <mergeCell ref="J26:J27"/>
    <mergeCell ref="A24:A25"/>
    <mergeCell ref="B24:B25"/>
    <mergeCell ref="C24:C25"/>
    <mergeCell ref="D24:D25"/>
    <mergeCell ref="H24:H25"/>
    <mergeCell ref="I24:I25"/>
    <mergeCell ref="E24:E25"/>
    <mergeCell ref="F24:F25"/>
    <mergeCell ref="G24:G25"/>
    <mergeCell ref="E26:E27"/>
    <mergeCell ref="F26:F27"/>
    <mergeCell ref="G26:G27"/>
    <mergeCell ref="D28:D29"/>
    <mergeCell ref="D30:D31"/>
    <mergeCell ref="H30:H31"/>
    <mergeCell ref="I30:I31"/>
    <mergeCell ref="J30:J31"/>
    <mergeCell ref="H28:H29"/>
    <mergeCell ref="I28:I29"/>
    <mergeCell ref="J28:J29"/>
    <mergeCell ref="G28:G29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3"/>
  <sheetViews>
    <sheetView topLeftCell="A10" workbookViewId="0">
      <selection activeCell="E28" sqref="E28"/>
    </sheetView>
  </sheetViews>
  <sheetFormatPr defaultRowHeight="15" x14ac:dyDescent="0.25"/>
  <cols>
    <col min="1" max="1" width="11" customWidth="1"/>
    <col min="2" max="2" width="33.140625" customWidth="1"/>
    <col min="3" max="3" width="7.5703125" bestFit="1" customWidth="1"/>
    <col min="4" max="4" width="13.28515625" customWidth="1"/>
  </cols>
  <sheetData>
    <row r="3" spans="1:8" ht="15.75" x14ac:dyDescent="0.25">
      <c r="H3" s="5"/>
    </row>
    <row r="4" spans="1:8" ht="16.5" thickBot="1" x14ac:dyDescent="0.3">
      <c r="H4" s="5"/>
    </row>
    <row r="5" spans="1:8" ht="19.5" thickBot="1" x14ac:dyDescent="0.3">
      <c r="A5" s="22" t="s">
        <v>248</v>
      </c>
      <c r="B5" s="23" t="s">
        <v>11</v>
      </c>
      <c r="C5" s="23" t="s">
        <v>147</v>
      </c>
      <c r="D5" s="24" t="s">
        <v>12</v>
      </c>
      <c r="H5" s="5"/>
    </row>
    <row r="6" spans="1:8" ht="16.5" thickBot="1" x14ac:dyDescent="0.3">
      <c r="A6" s="25">
        <v>1</v>
      </c>
      <c r="B6" s="26" t="s">
        <v>178</v>
      </c>
      <c r="C6" s="26" t="s">
        <v>7</v>
      </c>
      <c r="D6" s="27"/>
      <c r="H6" s="5"/>
    </row>
    <row r="7" spans="1:8" ht="16.5" thickBot="1" x14ac:dyDescent="0.3">
      <c r="A7" s="28">
        <v>2</v>
      </c>
      <c r="B7" s="33" t="s">
        <v>251</v>
      </c>
      <c r="C7" s="33" t="s">
        <v>7</v>
      </c>
      <c r="D7" s="30"/>
      <c r="H7" s="5"/>
    </row>
    <row r="8" spans="1:8" ht="16.5" thickBot="1" x14ac:dyDescent="0.3">
      <c r="A8" s="25">
        <v>3</v>
      </c>
      <c r="B8" s="29" t="s">
        <v>13</v>
      </c>
      <c r="C8" s="29" t="s">
        <v>6</v>
      </c>
      <c r="D8" s="30"/>
      <c r="H8" s="5"/>
    </row>
    <row r="9" spans="1:8" ht="16.5" thickBot="1" x14ac:dyDescent="0.3">
      <c r="A9" s="28">
        <v>4</v>
      </c>
      <c r="B9" s="26" t="s">
        <v>18</v>
      </c>
      <c r="C9" s="26" t="s">
        <v>6</v>
      </c>
      <c r="D9" s="27"/>
      <c r="H9" s="5"/>
    </row>
    <row r="10" spans="1:8" ht="16.5" thickBot="1" x14ac:dyDescent="0.3">
      <c r="A10" s="25">
        <v>5</v>
      </c>
      <c r="B10" s="29" t="s">
        <v>224</v>
      </c>
      <c r="C10" s="29" t="s">
        <v>7</v>
      </c>
      <c r="D10" s="30"/>
      <c r="H10" s="5"/>
    </row>
    <row r="11" spans="1:8" ht="16.5" thickBot="1" x14ac:dyDescent="0.3">
      <c r="A11" s="28">
        <v>6</v>
      </c>
      <c r="B11" s="26" t="s">
        <v>179</v>
      </c>
      <c r="C11" s="26" t="s">
        <v>6</v>
      </c>
      <c r="D11" s="27"/>
      <c r="H11" s="5"/>
    </row>
    <row r="12" spans="1:8" ht="16.5" thickBot="1" x14ac:dyDescent="0.3">
      <c r="A12" s="25">
        <v>7</v>
      </c>
      <c r="B12" s="29" t="s">
        <v>214</v>
      </c>
      <c r="C12" s="29" t="s">
        <v>7</v>
      </c>
      <c r="D12" s="30"/>
      <c r="H12" s="5"/>
    </row>
    <row r="13" spans="1:8" ht="16.5" thickBot="1" x14ac:dyDescent="0.3">
      <c r="A13" s="28">
        <v>8</v>
      </c>
      <c r="B13" s="26" t="s">
        <v>167</v>
      </c>
      <c r="C13" s="26" t="s">
        <v>7</v>
      </c>
      <c r="D13" s="27"/>
      <c r="H13" s="5"/>
    </row>
    <row r="14" spans="1:8" ht="16.5" thickBot="1" x14ac:dyDescent="0.3">
      <c r="A14" s="25">
        <v>9</v>
      </c>
      <c r="B14" s="33" t="s">
        <v>249</v>
      </c>
      <c r="C14" s="33" t="s">
        <v>7</v>
      </c>
      <c r="D14" s="30"/>
      <c r="H14" s="5"/>
    </row>
    <row r="15" spans="1:8" ht="16.5" thickBot="1" x14ac:dyDescent="0.3">
      <c r="A15" s="28">
        <v>10</v>
      </c>
      <c r="B15" s="29" t="s">
        <v>180</v>
      </c>
      <c r="C15" s="29" t="s">
        <v>6</v>
      </c>
      <c r="D15" s="30"/>
      <c r="H15" s="5"/>
    </row>
    <row r="16" spans="1:8" ht="16.5" thickBot="1" x14ac:dyDescent="0.3">
      <c r="A16" s="25">
        <v>11</v>
      </c>
      <c r="B16" s="26" t="s">
        <v>19</v>
      </c>
      <c r="C16" s="26" t="s">
        <v>7</v>
      </c>
      <c r="D16" s="27"/>
    </row>
    <row r="17" spans="1:4" ht="16.5" thickBot="1" x14ac:dyDescent="0.3">
      <c r="A17" s="28">
        <v>12</v>
      </c>
      <c r="B17" s="29" t="s">
        <v>175</v>
      </c>
      <c r="C17" s="29" t="s">
        <v>7</v>
      </c>
      <c r="D17" s="30"/>
    </row>
    <row r="18" spans="1:4" ht="16.5" thickBot="1" x14ac:dyDescent="0.3">
      <c r="A18" s="25">
        <v>13</v>
      </c>
      <c r="B18" s="26" t="s">
        <v>15</v>
      </c>
      <c r="C18" s="26" t="s">
        <v>6</v>
      </c>
      <c r="D18" s="27"/>
    </row>
    <row r="19" spans="1:4" ht="16.5" thickBot="1" x14ac:dyDescent="0.3">
      <c r="A19" s="28">
        <v>14</v>
      </c>
      <c r="B19" s="29" t="s">
        <v>222</v>
      </c>
      <c r="C19" s="29" t="s">
        <v>7</v>
      </c>
      <c r="D19" s="30"/>
    </row>
    <row r="20" spans="1:4" ht="16.5" thickBot="1" x14ac:dyDescent="0.3">
      <c r="A20" s="25">
        <v>15</v>
      </c>
      <c r="B20" s="26" t="s">
        <v>143</v>
      </c>
      <c r="C20" s="26" t="s">
        <v>6</v>
      </c>
      <c r="D20" s="27"/>
    </row>
    <row r="21" spans="1:4" ht="16.5" thickBot="1" x14ac:dyDescent="0.3">
      <c r="A21" s="28">
        <v>16</v>
      </c>
      <c r="B21" s="33" t="s">
        <v>250</v>
      </c>
      <c r="C21" s="33" t="s">
        <v>6</v>
      </c>
      <c r="D21" s="30"/>
    </row>
    <row r="22" spans="1:4" ht="16.5" thickBot="1" x14ac:dyDescent="0.3">
      <c r="A22" s="25">
        <v>17</v>
      </c>
      <c r="B22" s="29" t="s">
        <v>181</v>
      </c>
      <c r="C22" s="29" t="s">
        <v>7</v>
      </c>
      <c r="D22" s="30"/>
    </row>
    <row r="23" spans="1:4" ht="16.5" thickBot="1" x14ac:dyDescent="0.3">
      <c r="A23" s="28">
        <v>18</v>
      </c>
      <c r="B23" s="33" t="s">
        <v>292</v>
      </c>
      <c r="C23" s="33" t="s">
        <v>7</v>
      </c>
      <c r="D23" s="30"/>
    </row>
    <row r="24" spans="1:4" ht="16.5" thickBot="1" x14ac:dyDescent="0.3">
      <c r="A24" s="25">
        <v>19</v>
      </c>
      <c r="B24" s="26" t="s">
        <v>182</v>
      </c>
      <c r="C24" s="26" t="s">
        <v>6</v>
      </c>
      <c r="D24" s="27"/>
    </row>
    <row r="25" spans="1:4" ht="16.5" thickBot="1" x14ac:dyDescent="0.3">
      <c r="A25" s="32">
        <v>20</v>
      </c>
      <c r="B25" s="29" t="s">
        <v>223</v>
      </c>
      <c r="C25" s="29" t="s">
        <v>7</v>
      </c>
      <c r="D25" s="30"/>
    </row>
    <row r="26" spans="1:4" ht="16.5" thickBot="1" x14ac:dyDescent="0.3">
      <c r="A26" s="31">
        <v>21</v>
      </c>
      <c r="B26" s="26" t="s">
        <v>14</v>
      </c>
      <c r="C26" s="26" t="s">
        <v>7</v>
      </c>
      <c r="D26" s="27"/>
    </row>
    <row r="27" spans="1:4" ht="16.5" thickBot="1" x14ac:dyDescent="0.3">
      <c r="A27" s="32">
        <v>22</v>
      </c>
      <c r="B27" s="29" t="s">
        <v>230</v>
      </c>
      <c r="C27" s="29" t="s">
        <v>6</v>
      </c>
      <c r="D27" s="30"/>
    </row>
    <row r="28" spans="1:4" ht="16.5" thickBot="1" x14ac:dyDescent="0.3">
      <c r="A28" s="31">
        <v>23</v>
      </c>
      <c r="B28" s="26" t="s">
        <v>16</v>
      </c>
      <c r="C28" s="26" t="s">
        <v>6</v>
      </c>
      <c r="D28" s="27"/>
    </row>
    <row r="29" spans="1:4" ht="15.75" x14ac:dyDescent="0.25">
      <c r="A29">
        <v>24</v>
      </c>
      <c r="B29" s="35" t="s">
        <v>17</v>
      </c>
      <c r="C29" s="35" t="s">
        <v>7</v>
      </c>
      <c r="D29" s="37"/>
    </row>
    <row r="30" spans="1:4" ht="15.75" x14ac:dyDescent="0.25">
      <c r="A30">
        <v>25</v>
      </c>
      <c r="B30" s="34" t="s">
        <v>225</v>
      </c>
      <c r="C30" s="34" t="s">
        <v>7</v>
      </c>
      <c r="D30" s="36"/>
    </row>
    <row r="31" spans="1:4" x14ac:dyDescent="0.25">
      <c r="A31">
        <v>26</v>
      </c>
      <c r="B31" t="s">
        <v>291</v>
      </c>
      <c r="C31" t="s">
        <v>7</v>
      </c>
    </row>
    <row r="32" spans="1:4" ht="15.75" x14ac:dyDescent="0.25">
      <c r="A32">
        <v>27</v>
      </c>
      <c r="B32" s="35" t="s">
        <v>295</v>
      </c>
      <c r="C32" s="35" t="s">
        <v>6</v>
      </c>
      <c r="D32" s="37"/>
    </row>
    <row r="33" spans="1:4" ht="15.75" x14ac:dyDescent="0.25">
      <c r="A33">
        <v>28</v>
      </c>
      <c r="B33" s="34" t="s">
        <v>234</v>
      </c>
      <c r="C33" s="34" t="s">
        <v>7</v>
      </c>
      <c r="D33" s="3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1"/>
  <sheetViews>
    <sheetView workbookViewId="0">
      <selection activeCell="I16" sqref="I16"/>
    </sheetView>
  </sheetViews>
  <sheetFormatPr defaultRowHeight="15" x14ac:dyDescent="0.25"/>
  <cols>
    <col min="1" max="1" width="11" customWidth="1"/>
    <col min="2" max="2" width="25.140625" customWidth="1"/>
    <col min="3" max="3" width="11.5703125" customWidth="1"/>
    <col min="4" max="4" width="11" customWidth="1"/>
  </cols>
  <sheetData>
    <row r="2" spans="1:7" ht="15.75" x14ac:dyDescent="0.25">
      <c r="A2" t="s">
        <v>20</v>
      </c>
      <c r="B2" t="s">
        <v>21</v>
      </c>
      <c r="C2" t="s">
        <v>12</v>
      </c>
      <c r="D2" t="s">
        <v>149</v>
      </c>
      <c r="G2" s="7"/>
    </row>
    <row r="3" spans="1:7" ht="15.75" x14ac:dyDescent="0.25">
      <c r="A3">
        <v>1</v>
      </c>
      <c r="B3" t="s">
        <v>253</v>
      </c>
      <c r="D3" t="s">
        <v>6</v>
      </c>
      <c r="G3" s="7"/>
    </row>
    <row r="4" spans="1:7" ht="15.75" x14ac:dyDescent="0.25">
      <c r="A4" s="11">
        <v>2</v>
      </c>
      <c r="B4" t="s">
        <v>22</v>
      </c>
      <c r="D4" t="s">
        <v>7</v>
      </c>
      <c r="G4" s="7"/>
    </row>
    <row r="5" spans="1:7" ht="15.75" x14ac:dyDescent="0.25">
      <c r="A5">
        <v>3</v>
      </c>
      <c r="B5" t="s">
        <v>25</v>
      </c>
      <c r="D5" t="s">
        <v>6</v>
      </c>
      <c r="G5" s="7"/>
    </row>
    <row r="6" spans="1:7" ht="15.75" x14ac:dyDescent="0.25">
      <c r="A6">
        <v>4</v>
      </c>
      <c r="B6" t="s">
        <v>329</v>
      </c>
      <c r="D6" t="s">
        <v>6</v>
      </c>
      <c r="G6" s="7"/>
    </row>
    <row r="7" spans="1:7" ht="15.75" x14ac:dyDescent="0.25">
      <c r="A7">
        <v>5</v>
      </c>
      <c r="B7" t="s">
        <v>254</v>
      </c>
      <c r="D7" t="s">
        <v>6</v>
      </c>
      <c r="G7" s="7"/>
    </row>
    <row r="8" spans="1:7" ht="15.75" x14ac:dyDescent="0.25">
      <c r="A8">
        <v>6</v>
      </c>
      <c r="B8" t="s">
        <v>297</v>
      </c>
      <c r="D8" t="s">
        <v>6</v>
      </c>
      <c r="G8" s="7"/>
    </row>
    <row r="9" spans="1:7" ht="15.75" x14ac:dyDescent="0.25">
      <c r="A9">
        <v>7</v>
      </c>
      <c r="B9" t="s">
        <v>23</v>
      </c>
      <c r="D9" t="s">
        <v>7</v>
      </c>
      <c r="G9" s="7"/>
    </row>
    <row r="10" spans="1:7" ht="15.75" x14ac:dyDescent="0.25">
      <c r="A10">
        <v>8</v>
      </c>
      <c r="B10" t="s">
        <v>30</v>
      </c>
      <c r="D10" t="s">
        <v>7</v>
      </c>
      <c r="G10" s="7"/>
    </row>
    <row r="11" spans="1:7" x14ac:dyDescent="0.25">
      <c r="A11">
        <v>9</v>
      </c>
      <c r="B11" t="s">
        <v>26</v>
      </c>
      <c r="D11" t="s">
        <v>6</v>
      </c>
    </row>
    <row r="12" spans="1:7" x14ac:dyDescent="0.25">
      <c r="A12">
        <v>10</v>
      </c>
      <c r="B12" t="s">
        <v>27</v>
      </c>
      <c r="D12" t="s">
        <v>6</v>
      </c>
    </row>
    <row r="13" spans="1:7" x14ac:dyDescent="0.25">
      <c r="A13">
        <v>11</v>
      </c>
      <c r="B13" t="s">
        <v>242</v>
      </c>
      <c r="D13" t="s">
        <v>7</v>
      </c>
    </row>
    <row r="14" spans="1:7" x14ac:dyDescent="0.25">
      <c r="A14">
        <v>12</v>
      </c>
      <c r="B14" t="s">
        <v>28</v>
      </c>
      <c r="D14" t="s">
        <v>7</v>
      </c>
    </row>
    <row r="15" spans="1:7" x14ac:dyDescent="0.25">
      <c r="A15">
        <v>13</v>
      </c>
      <c r="B15" t="s">
        <v>24</v>
      </c>
      <c r="D15" t="s">
        <v>7</v>
      </c>
    </row>
    <row r="16" spans="1:7" x14ac:dyDescent="0.25">
      <c r="A16">
        <v>14</v>
      </c>
      <c r="B16" t="s">
        <v>169</v>
      </c>
      <c r="D16" t="s">
        <v>7</v>
      </c>
    </row>
    <row r="17" spans="1:4" x14ac:dyDescent="0.25">
      <c r="A17">
        <v>15</v>
      </c>
      <c r="B17" t="s">
        <v>252</v>
      </c>
      <c r="D17" t="s">
        <v>7</v>
      </c>
    </row>
    <row r="18" spans="1:4" x14ac:dyDescent="0.25">
      <c r="A18">
        <v>16</v>
      </c>
      <c r="B18" t="s">
        <v>296</v>
      </c>
      <c r="D18" t="s">
        <v>6</v>
      </c>
    </row>
    <row r="19" spans="1:4" x14ac:dyDescent="0.25">
      <c r="A19">
        <v>17</v>
      </c>
      <c r="B19" t="s">
        <v>183</v>
      </c>
      <c r="D19" t="s">
        <v>6</v>
      </c>
    </row>
    <row r="20" spans="1:4" x14ac:dyDescent="0.25">
      <c r="A20">
        <v>18</v>
      </c>
      <c r="B20" t="s">
        <v>29</v>
      </c>
      <c r="D20" t="s">
        <v>6</v>
      </c>
    </row>
    <row r="21" spans="1:4" x14ac:dyDescent="0.25">
      <c r="A21">
        <v>19</v>
      </c>
      <c r="B21" t="s">
        <v>139</v>
      </c>
      <c r="D21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opLeftCell="A4" workbookViewId="0">
      <selection activeCell="C26" sqref="C26"/>
    </sheetView>
  </sheetViews>
  <sheetFormatPr defaultRowHeight="15" x14ac:dyDescent="0.25"/>
  <cols>
    <col min="1" max="1" width="11" customWidth="1"/>
    <col min="2" max="2" width="30.28515625" customWidth="1"/>
    <col min="3" max="3" width="11" customWidth="1"/>
  </cols>
  <sheetData>
    <row r="1" spans="1:7" x14ac:dyDescent="0.25">
      <c r="A1" t="s">
        <v>31</v>
      </c>
    </row>
    <row r="3" spans="1:7" ht="15.75" x14ac:dyDescent="0.25">
      <c r="A3" t="s">
        <v>20</v>
      </c>
      <c r="B3" t="s">
        <v>11</v>
      </c>
      <c r="C3" t="s">
        <v>10</v>
      </c>
      <c r="D3" t="s">
        <v>149</v>
      </c>
      <c r="G3" s="6"/>
    </row>
    <row r="4" spans="1:7" ht="15.75" x14ac:dyDescent="0.25">
      <c r="A4">
        <v>1</v>
      </c>
      <c r="B4" t="s">
        <v>38</v>
      </c>
      <c r="D4" t="s">
        <v>6</v>
      </c>
      <c r="G4" s="6"/>
    </row>
    <row r="5" spans="1:7" ht="15.75" x14ac:dyDescent="0.25">
      <c r="A5">
        <v>2</v>
      </c>
      <c r="B5" t="s">
        <v>37</v>
      </c>
      <c r="D5" t="s">
        <v>6</v>
      </c>
      <c r="G5" s="6"/>
    </row>
    <row r="6" spans="1:7" ht="15.75" x14ac:dyDescent="0.25">
      <c r="A6">
        <v>3</v>
      </c>
      <c r="B6" t="s">
        <v>34</v>
      </c>
      <c r="C6" t="s">
        <v>43</v>
      </c>
      <c r="D6" t="s">
        <v>6</v>
      </c>
      <c r="G6" s="6"/>
    </row>
    <row r="7" spans="1:7" ht="15.75" x14ac:dyDescent="0.25">
      <c r="A7">
        <v>4</v>
      </c>
      <c r="B7" t="s">
        <v>33</v>
      </c>
      <c r="D7" t="s">
        <v>7</v>
      </c>
      <c r="G7" s="6"/>
    </row>
    <row r="8" spans="1:7" ht="15.75" x14ac:dyDescent="0.25">
      <c r="A8">
        <v>5</v>
      </c>
      <c r="B8" t="s">
        <v>213</v>
      </c>
      <c r="D8" t="s">
        <v>6</v>
      </c>
      <c r="G8" s="6"/>
    </row>
    <row r="9" spans="1:7" ht="15.75" x14ac:dyDescent="0.25">
      <c r="A9">
        <v>6</v>
      </c>
      <c r="B9" t="s">
        <v>232</v>
      </c>
      <c r="D9" t="s">
        <v>7</v>
      </c>
      <c r="G9" s="6"/>
    </row>
    <row r="10" spans="1:7" ht="15.75" x14ac:dyDescent="0.25">
      <c r="A10">
        <v>7</v>
      </c>
      <c r="B10" t="s">
        <v>35</v>
      </c>
      <c r="D10" t="s">
        <v>6</v>
      </c>
      <c r="G10" s="6"/>
    </row>
    <row r="11" spans="1:7" ht="15.75" x14ac:dyDescent="0.25">
      <c r="A11">
        <v>8</v>
      </c>
      <c r="B11" t="s">
        <v>239</v>
      </c>
      <c r="D11" t="s">
        <v>7</v>
      </c>
      <c r="G11" s="6"/>
    </row>
    <row r="12" spans="1:7" ht="15.75" x14ac:dyDescent="0.25">
      <c r="A12">
        <v>9</v>
      </c>
      <c r="B12" t="s">
        <v>257</v>
      </c>
      <c r="D12" t="s">
        <v>6</v>
      </c>
      <c r="G12" s="6"/>
    </row>
    <row r="13" spans="1:7" ht="15.75" x14ac:dyDescent="0.25">
      <c r="A13">
        <v>10</v>
      </c>
      <c r="B13" t="s">
        <v>135</v>
      </c>
      <c r="D13" t="s">
        <v>6</v>
      </c>
      <c r="G13" s="6"/>
    </row>
    <row r="14" spans="1:7" ht="15.75" x14ac:dyDescent="0.25">
      <c r="A14">
        <v>11</v>
      </c>
      <c r="B14" t="s">
        <v>134</v>
      </c>
      <c r="D14" t="s">
        <v>7</v>
      </c>
      <c r="G14" s="6"/>
    </row>
    <row r="15" spans="1:7" x14ac:dyDescent="0.25">
      <c r="A15">
        <v>12</v>
      </c>
      <c r="B15" t="s">
        <v>258</v>
      </c>
      <c r="D15" t="s">
        <v>7</v>
      </c>
    </row>
    <row r="16" spans="1:7" x14ac:dyDescent="0.25">
      <c r="A16">
        <v>13</v>
      </c>
      <c r="B16" t="s">
        <v>41</v>
      </c>
      <c r="D16" t="s">
        <v>7</v>
      </c>
    </row>
    <row r="17" spans="1:7" x14ac:dyDescent="0.25">
      <c r="A17">
        <v>14</v>
      </c>
      <c r="B17" t="s">
        <v>136</v>
      </c>
      <c r="D17" t="s">
        <v>6</v>
      </c>
    </row>
    <row r="18" spans="1:7" x14ac:dyDescent="0.25">
      <c r="A18">
        <v>15</v>
      </c>
      <c r="B18" t="s">
        <v>256</v>
      </c>
      <c r="D18" t="s">
        <v>7</v>
      </c>
    </row>
    <row r="19" spans="1:7" x14ac:dyDescent="0.25">
      <c r="A19">
        <v>16</v>
      </c>
      <c r="B19" t="s">
        <v>40</v>
      </c>
      <c r="D19" t="s">
        <v>6</v>
      </c>
    </row>
    <row r="20" spans="1:7" x14ac:dyDescent="0.25">
      <c r="A20">
        <v>17</v>
      </c>
      <c r="B20" t="s">
        <v>184</v>
      </c>
      <c r="D20" t="s">
        <v>7</v>
      </c>
      <c r="F20" t="s">
        <v>43</v>
      </c>
      <c r="G20" t="s">
        <v>148</v>
      </c>
    </row>
    <row r="21" spans="1:7" x14ac:dyDescent="0.25">
      <c r="A21">
        <v>18</v>
      </c>
      <c r="B21" t="s">
        <v>42</v>
      </c>
      <c r="D21" t="s">
        <v>6</v>
      </c>
    </row>
    <row r="22" spans="1:7" x14ac:dyDescent="0.25">
      <c r="A22">
        <v>19</v>
      </c>
      <c r="B22" t="s">
        <v>221</v>
      </c>
      <c r="C22" t="s">
        <v>43</v>
      </c>
      <c r="D22" t="s">
        <v>6</v>
      </c>
    </row>
    <row r="23" spans="1:7" x14ac:dyDescent="0.25">
      <c r="A23">
        <v>20</v>
      </c>
      <c r="B23" t="s">
        <v>39</v>
      </c>
      <c r="D23" t="s">
        <v>6</v>
      </c>
    </row>
    <row r="24" spans="1:7" x14ac:dyDescent="0.25">
      <c r="A24">
        <v>21</v>
      </c>
      <c r="B24" t="s">
        <v>32</v>
      </c>
      <c r="D24" t="s">
        <v>7</v>
      </c>
    </row>
    <row r="25" spans="1:7" x14ac:dyDescent="0.25">
      <c r="A25">
        <v>22</v>
      </c>
      <c r="B25" t="s">
        <v>36</v>
      </c>
      <c r="C25" t="s">
        <v>43</v>
      </c>
      <c r="D25" t="s">
        <v>7</v>
      </c>
    </row>
    <row r="26" spans="1:7" x14ac:dyDescent="0.25">
      <c r="A26">
        <v>23</v>
      </c>
      <c r="B26" t="s">
        <v>255</v>
      </c>
      <c r="C26" t="s">
        <v>43</v>
      </c>
      <c r="D26" t="s">
        <v>6</v>
      </c>
    </row>
    <row r="27" spans="1:7" x14ac:dyDescent="0.25">
      <c r="A27">
        <v>24</v>
      </c>
      <c r="B27" t="s">
        <v>298</v>
      </c>
      <c r="D27" t="s">
        <v>6</v>
      </c>
    </row>
    <row r="28" spans="1:7" x14ac:dyDescent="0.25">
      <c r="A28">
        <v>25</v>
      </c>
      <c r="B28" t="s">
        <v>299</v>
      </c>
      <c r="D28" t="s">
        <v>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opLeftCell="A9" workbookViewId="0">
      <selection activeCell="D36" sqref="D36"/>
    </sheetView>
  </sheetViews>
  <sheetFormatPr defaultRowHeight="15" x14ac:dyDescent="0.25"/>
  <cols>
    <col min="2" max="2" width="27" customWidth="1"/>
  </cols>
  <sheetData>
    <row r="1" spans="1:6" ht="15.75" x14ac:dyDescent="0.25">
      <c r="A1" t="s">
        <v>20</v>
      </c>
      <c r="B1" t="s">
        <v>11</v>
      </c>
      <c r="C1" t="s">
        <v>10</v>
      </c>
      <c r="D1" t="s">
        <v>149</v>
      </c>
      <c r="F1" s="6"/>
    </row>
    <row r="2" spans="1:6" ht="15.75" x14ac:dyDescent="0.25">
      <c r="A2">
        <v>1</v>
      </c>
      <c r="B2" t="s">
        <v>235</v>
      </c>
      <c r="C2" t="s">
        <v>43</v>
      </c>
      <c r="D2" t="s">
        <v>6</v>
      </c>
      <c r="F2" s="6"/>
    </row>
    <row r="3" spans="1:6" ht="15.75" x14ac:dyDescent="0.25">
      <c r="A3">
        <v>2</v>
      </c>
      <c r="B3" t="s">
        <v>130</v>
      </c>
      <c r="D3" t="s">
        <v>6</v>
      </c>
      <c r="F3" s="6"/>
    </row>
    <row r="4" spans="1:6" ht="15.75" x14ac:dyDescent="0.25">
      <c r="A4">
        <v>3</v>
      </c>
      <c r="B4" t="s">
        <v>133</v>
      </c>
      <c r="D4" t="s">
        <v>6</v>
      </c>
      <c r="F4" s="6"/>
    </row>
    <row r="5" spans="1:6" ht="15.75" x14ac:dyDescent="0.25">
      <c r="A5">
        <v>4</v>
      </c>
      <c r="B5" t="s">
        <v>46</v>
      </c>
      <c r="D5" t="s">
        <v>6</v>
      </c>
      <c r="F5" s="6"/>
    </row>
    <row r="6" spans="1:6" ht="15.75" x14ac:dyDescent="0.25">
      <c r="A6">
        <v>5</v>
      </c>
      <c r="B6" t="s">
        <v>228</v>
      </c>
      <c r="D6" t="s">
        <v>7</v>
      </c>
      <c r="F6" s="6"/>
    </row>
    <row r="7" spans="1:6" ht="15.75" x14ac:dyDescent="0.25">
      <c r="A7">
        <v>6</v>
      </c>
      <c r="B7" t="s">
        <v>57</v>
      </c>
      <c r="D7" t="s">
        <v>6</v>
      </c>
      <c r="F7" s="6"/>
    </row>
    <row r="8" spans="1:6" ht="15.75" x14ac:dyDescent="0.25">
      <c r="A8">
        <v>7</v>
      </c>
      <c r="B8" t="s">
        <v>236</v>
      </c>
      <c r="D8" t="s">
        <v>7</v>
      </c>
      <c r="F8" s="6"/>
    </row>
    <row r="9" spans="1:6" ht="15.75" x14ac:dyDescent="0.25">
      <c r="A9">
        <v>8</v>
      </c>
      <c r="B9" t="s">
        <v>55</v>
      </c>
      <c r="D9" t="s">
        <v>7</v>
      </c>
      <c r="F9" s="6"/>
    </row>
    <row r="10" spans="1:6" ht="15.75" x14ac:dyDescent="0.25">
      <c r="A10">
        <v>9</v>
      </c>
      <c r="B10" t="s">
        <v>49</v>
      </c>
      <c r="D10" t="s">
        <v>7</v>
      </c>
      <c r="F10" s="6"/>
    </row>
    <row r="11" spans="1:6" ht="15.75" x14ac:dyDescent="0.25">
      <c r="A11">
        <v>10</v>
      </c>
      <c r="B11" t="s">
        <v>50</v>
      </c>
      <c r="D11" t="s">
        <v>7</v>
      </c>
      <c r="F11" s="6"/>
    </row>
    <row r="12" spans="1:6" ht="15.75" x14ac:dyDescent="0.25">
      <c r="A12">
        <v>11</v>
      </c>
      <c r="B12" t="s">
        <v>51</v>
      </c>
      <c r="D12" t="s">
        <v>7</v>
      </c>
      <c r="F12" s="6"/>
    </row>
    <row r="13" spans="1:6" ht="15.75" x14ac:dyDescent="0.25">
      <c r="A13">
        <v>12</v>
      </c>
      <c r="B13" t="s">
        <v>263</v>
      </c>
      <c r="D13" t="s">
        <v>6</v>
      </c>
      <c r="F13" s="6"/>
    </row>
    <row r="14" spans="1:6" ht="15.75" x14ac:dyDescent="0.25">
      <c r="A14">
        <v>13</v>
      </c>
      <c r="B14" t="s">
        <v>52</v>
      </c>
      <c r="D14" t="s">
        <v>7</v>
      </c>
      <c r="F14" s="6"/>
    </row>
    <row r="15" spans="1:6" ht="15.75" x14ac:dyDescent="0.25">
      <c r="A15">
        <v>14</v>
      </c>
      <c r="B15" t="s">
        <v>123</v>
      </c>
      <c r="D15" t="s">
        <v>6</v>
      </c>
      <c r="F15" s="6"/>
    </row>
    <row r="16" spans="1:6" ht="15.75" x14ac:dyDescent="0.25">
      <c r="A16">
        <v>15</v>
      </c>
      <c r="B16" t="s">
        <v>240</v>
      </c>
      <c r="D16" t="s">
        <v>7</v>
      </c>
      <c r="F16" s="6"/>
    </row>
    <row r="17" spans="1:7" ht="15.75" x14ac:dyDescent="0.25">
      <c r="A17">
        <v>16</v>
      </c>
      <c r="B17" t="s">
        <v>44</v>
      </c>
      <c r="D17" t="s">
        <v>7</v>
      </c>
      <c r="F17" s="6"/>
    </row>
    <row r="18" spans="1:7" ht="15.75" x14ac:dyDescent="0.25">
      <c r="A18">
        <v>17</v>
      </c>
      <c r="B18" t="s">
        <v>127</v>
      </c>
      <c r="D18" t="s">
        <v>7</v>
      </c>
      <c r="F18" s="6"/>
    </row>
    <row r="19" spans="1:7" ht="15.75" x14ac:dyDescent="0.25">
      <c r="A19">
        <v>18</v>
      </c>
      <c r="B19" t="s">
        <v>241</v>
      </c>
      <c r="D19" t="s">
        <v>6</v>
      </c>
      <c r="F19" s="6"/>
    </row>
    <row r="20" spans="1:7" ht="15.75" x14ac:dyDescent="0.25">
      <c r="A20">
        <v>19</v>
      </c>
      <c r="B20" t="s">
        <v>58</v>
      </c>
      <c r="D20" t="s">
        <v>6</v>
      </c>
      <c r="F20" s="6"/>
    </row>
    <row r="21" spans="1:7" ht="15.75" x14ac:dyDescent="0.25">
      <c r="A21">
        <v>20</v>
      </c>
      <c r="B21" t="s">
        <v>45</v>
      </c>
      <c r="D21" t="s">
        <v>6</v>
      </c>
      <c r="F21" s="6"/>
    </row>
    <row r="22" spans="1:7" ht="15.75" x14ac:dyDescent="0.25">
      <c r="A22">
        <v>21</v>
      </c>
      <c r="B22" t="s">
        <v>59</v>
      </c>
      <c r="D22" t="s">
        <v>6</v>
      </c>
      <c r="F22" s="6"/>
    </row>
    <row r="23" spans="1:7" ht="15.75" x14ac:dyDescent="0.25">
      <c r="A23">
        <v>22</v>
      </c>
      <c r="B23" t="s">
        <v>54</v>
      </c>
      <c r="D23" t="s">
        <v>7</v>
      </c>
      <c r="F23" s="6" t="s">
        <v>43</v>
      </c>
      <c r="G23" t="s">
        <v>145</v>
      </c>
    </row>
    <row r="24" spans="1:7" x14ac:dyDescent="0.25">
      <c r="A24">
        <v>23</v>
      </c>
      <c r="B24" t="s">
        <v>244</v>
      </c>
      <c r="D24" t="s">
        <v>6</v>
      </c>
    </row>
    <row r="25" spans="1:7" x14ac:dyDescent="0.25">
      <c r="A25">
        <v>24</v>
      </c>
      <c r="B25" t="s">
        <v>262</v>
      </c>
      <c r="D25" t="s">
        <v>6</v>
      </c>
    </row>
    <row r="26" spans="1:7" x14ac:dyDescent="0.25">
      <c r="A26">
        <v>25</v>
      </c>
      <c r="B26" t="s">
        <v>60</v>
      </c>
      <c r="C26" t="s">
        <v>43</v>
      </c>
      <c r="D26" t="s">
        <v>7</v>
      </c>
    </row>
    <row r="27" spans="1:7" x14ac:dyDescent="0.25">
      <c r="A27">
        <v>26</v>
      </c>
      <c r="B27" t="s">
        <v>56</v>
      </c>
      <c r="D27" t="s">
        <v>6</v>
      </c>
    </row>
    <row r="28" spans="1:7" x14ac:dyDescent="0.25">
      <c r="A28">
        <v>27</v>
      </c>
      <c r="B28" t="s">
        <v>261</v>
      </c>
      <c r="D28" t="s">
        <v>7</v>
      </c>
    </row>
    <row r="29" spans="1:7" x14ac:dyDescent="0.25">
      <c r="A29">
        <v>28</v>
      </c>
      <c r="B29" t="s">
        <v>53</v>
      </c>
      <c r="D29" t="s">
        <v>7</v>
      </c>
    </row>
    <row r="30" spans="1:7" x14ac:dyDescent="0.25">
      <c r="A30">
        <v>29</v>
      </c>
      <c r="B30" t="s">
        <v>47</v>
      </c>
      <c r="D30" t="s">
        <v>7</v>
      </c>
    </row>
    <row r="31" spans="1:7" x14ac:dyDescent="0.25">
      <c r="A31">
        <v>30</v>
      </c>
      <c r="B31" t="s">
        <v>173</v>
      </c>
      <c r="D31" t="s">
        <v>7</v>
      </c>
    </row>
    <row r="32" spans="1:7" x14ac:dyDescent="0.25">
      <c r="A32">
        <v>31</v>
      </c>
      <c r="B32" t="s">
        <v>259</v>
      </c>
      <c r="D32" t="s">
        <v>7</v>
      </c>
    </row>
    <row r="33" spans="1:4" x14ac:dyDescent="0.25">
      <c r="A33">
        <v>32</v>
      </c>
      <c r="B33" t="s">
        <v>128</v>
      </c>
      <c r="D33" t="s">
        <v>7</v>
      </c>
    </row>
    <row r="34" spans="1:4" x14ac:dyDescent="0.25">
      <c r="A34">
        <v>33</v>
      </c>
      <c r="B34" t="s">
        <v>260</v>
      </c>
      <c r="D34" t="s">
        <v>6</v>
      </c>
    </row>
    <row r="35" spans="1:4" x14ac:dyDescent="0.25">
      <c r="A35">
        <v>34</v>
      </c>
      <c r="B35" t="s">
        <v>218</v>
      </c>
      <c r="D35" t="s">
        <v>6</v>
      </c>
    </row>
    <row r="36" spans="1:4" x14ac:dyDescent="0.25">
      <c r="A36">
        <v>35</v>
      </c>
      <c r="B36" t="s">
        <v>300</v>
      </c>
      <c r="D36" t="s">
        <v>6</v>
      </c>
    </row>
    <row r="37" spans="1:4" x14ac:dyDescent="0.25">
      <c r="A37">
        <v>36</v>
      </c>
      <c r="B37" t="s">
        <v>48</v>
      </c>
      <c r="D37" t="s">
        <v>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11" workbookViewId="0">
      <selection activeCell="B36" sqref="B36"/>
    </sheetView>
  </sheetViews>
  <sheetFormatPr defaultRowHeight="15" x14ac:dyDescent="0.25"/>
  <cols>
    <col min="2" max="2" width="29.140625" customWidth="1"/>
    <col min="3" max="3" width="11.5703125" customWidth="1"/>
  </cols>
  <sheetData>
    <row r="1" spans="1:7" ht="15.75" x14ac:dyDescent="0.25">
      <c r="A1" t="s">
        <v>20</v>
      </c>
      <c r="B1" t="s">
        <v>11</v>
      </c>
      <c r="C1" t="s">
        <v>9</v>
      </c>
      <c r="D1" t="s">
        <v>147</v>
      </c>
      <c r="G1" s="9"/>
    </row>
    <row r="2" spans="1:7" ht="15.75" x14ac:dyDescent="0.25">
      <c r="A2" s="21">
        <v>1</v>
      </c>
      <c r="B2" s="21" t="s">
        <v>208</v>
      </c>
      <c r="D2" t="s">
        <v>7</v>
      </c>
      <c r="G2" s="9"/>
    </row>
    <row r="3" spans="1:7" ht="15.75" x14ac:dyDescent="0.25">
      <c r="A3" s="21">
        <v>2</v>
      </c>
      <c r="B3" s="21" t="s">
        <v>70</v>
      </c>
      <c r="D3" t="s">
        <v>7</v>
      </c>
      <c r="F3" s="9"/>
      <c r="G3" s="9"/>
    </row>
    <row r="4" spans="1:7" ht="15.75" x14ac:dyDescent="0.25">
      <c r="A4">
        <v>3</v>
      </c>
      <c r="B4" s="21" t="s">
        <v>268</v>
      </c>
      <c r="C4" t="s">
        <v>43</v>
      </c>
      <c r="D4" t="s">
        <v>6</v>
      </c>
      <c r="F4" s="8"/>
      <c r="G4" s="9"/>
    </row>
    <row r="5" spans="1:7" ht="15.75" x14ac:dyDescent="0.25">
      <c r="A5">
        <v>4</v>
      </c>
      <c r="B5" s="21" t="s">
        <v>61</v>
      </c>
      <c r="D5" t="s">
        <v>7</v>
      </c>
      <c r="G5" s="9"/>
    </row>
    <row r="6" spans="1:7" ht="15.75" x14ac:dyDescent="0.25">
      <c r="A6">
        <v>5</v>
      </c>
      <c r="B6" s="21" t="s">
        <v>63</v>
      </c>
      <c r="D6" t="s">
        <v>7</v>
      </c>
      <c r="G6" s="9"/>
    </row>
    <row r="7" spans="1:7" ht="15.75" x14ac:dyDescent="0.25">
      <c r="A7">
        <v>6</v>
      </c>
      <c r="B7" s="21" t="s">
        <v>122</v>
      </c>
      <c r="D7" t="s">
        <v>6</v>
      </c>
      <c r="G7" s="9"/>
    </row>
    <row r="8" spans="1:7" ht="15.75" x14ac:dyDescent="0.25">
      <c r="A8">
        <v>7</v>
      </c>
      <c r="B8" s="21" t="s">
        <v>142</v>
      </c>
      <c r="D8" t="s">
        <v>6</v>
      </c>
      <c r="G8" s="9"/>
    </row>
    <row r="9" spans="1:7" x14ac:dyDescent="0.25">
      <c r="A9">
        <v>8</v>
      </c>
      <c r="B9" s="21" t="s">
        <v>67</v>
      </c>
      <c r="D9" t="s">
        <v>7</v>
      </c>
    </row>
    <row r="10" spans="1:7" x14ac:dyDescent="0.25">
      <c r="A10">
        <v>9</v>
      </c>
      <c r="B10" s="21" t="s">
        <v>266</v>
      </c>
      <c r="D10" t="s">
        <v>7</v>
      </c>
    </row>
    <row r="11" spans="1:7" x14ac:dyDescent="0.25">
      <c r="A11">
        <v>10</v>
      </c>
      <c r="B11" s="21" t="s">
        <v>65</v>
      </c>
      <c r="D11" t="s">
        <v>7</v>
      </c>
    </row>
    <row r="12" spans="1:7" x14ac:dyDescent="0.25">
      <c r="A12">
        <v>11</v>
      </c>
      <c r="B12" s="21" t="s">
        <v>177</v>
      </c>
      <c r="D12" t="s">
        <v>7</v>
      </c>
    </row>
    <row r="13" spans="1:7" x14ac:dyDescent="0.25">
      <c r="A13">
        <v>12</v>
      </c>
      <c r="B13" s="21" t="s">
        <v>68</v>
      </c>
      <c r="D13" t="s">
        <v>7</v>
      </c>
    </row>
    <row r="14" spans="1:7" x14ac:dyDescent="0.25">
      <c r="A14">
        <v>13</v>
      </c>
      <c r="B14" s="21" t="s">
        <v>69</v>
      </c>
      <c r="C14" t="s">
        <v>43</v>
      </c>
      <c r="D14" t="s">
        <v>6</v>
      </c>
    </row>
    <row r="15" spans="1:7" x14ac:dyDescent="0.25">
      <c r="A15">
        <v>14</v>
      </c>
      <c r="B15" s="21" t="s">
        <v>265</v>
      </c>
      <c r="D15" t="s">
        <v>7</v>
      </c>
      <c r="F15" t="s">
        <v>43</v>
      </c>
      <c r="G15" t="s">
        <v>145</v>
      </c>
    </row>
    <row r="16" spans="1:7" x14ac:dyDescent="0.25">
      <c r="A16">
        <v>15</v>
      </c>
      <c r="B16" s="21" t="s">
        <v>271</v>
      </c>
      <c r="D16" t="s">
        <v>7</v>
      </c>
    </row>
    <row r="17" spans="1:4" x14ac:dyDescent="0.25">
      <c r="A17">
        <v>16</v>
      </c>
      <c r="B17" s="21" t="s">
        <v>272</v>
      </c>
      <c r="D17" t="s">
        <v>6</v>
      </c>
    </row>
    <row r="18" spans="1:4" x14ac:dyDescent="0.25">
      <c r="A18">
        <v>17</v>
      </c>
      <c r="B18" s="21" t="s">
        <v>205</v>
      </c>
      <c r="D18" t="s">
        <v>6</v>
      </c>
    </row>
    <row r="19" spans="1:4" x14ac:dyDescent="0.25">
      <c r="A19">
        <v>18</v>
      </c>
      <c r="B19" s="21" t="s">
        <v>217</v>
      </c>
      <c r="D19" t="s">
        <v>7</v>
      </c>
    </row>
    <row r="20" spans="1:4" x14ac:dyDescent="0.25">
      <c r="A20">
        <v>19</v>
      </c>
      <c r="B20" s="21" t="s">
        <v>144</v>
      </c>
      <c r="D20" t="s">
        <v>7</v>
      </c>
    </row>
    <row r="21" spans="1:4" x14ac:dyDescent="0.25">
      <c r="A21">
        <v>20</v>
      </c>
      <c r="B21" s="21" t="s">
        <v>226</v>
      </c>
      <c r="D21" t="s">
        <v>7</v>
      </c>
    </row>
    <row r="22" spans="1:4" x14ac:dyDescent="0.25">
      <c r="A22">
        <v>21</v>
      </c>
      <c r="B22" s="21" t="s">
        <v>66</v>
      </c>
      <c r="D22" t="s">
        <v>7</v>
      </c>
    </row>
    <row r="23" spans="1:4" x14ac:dyDescent="0.25">
      <c r="A23">
        <v>22</v>
      </c>
      <c r="B23" s="21" t="s">
        <v>264</v>
      </c>
      <c r="D23" t="s">
        <v>6</v>
      </c>
    </row>
    <row r="24" spans="1:4" x14ac:dyDescent="0.25">
      <c r="A24">
        <v>24</v>
      </c>
      <c r="B24" s="21" t="s">
        <v>267</v>
      </c>
      <c r="D24" t="s">
        <v>7</v>
      </c>
    </row>
    <row r="25" spans="1:4" x14ac:dyDescent="0.25">
      <c r="A25">
        <v>25</v>
      </c>
      <c r="B25" s="21" t="s">
        <v>64</v>
      </c>
      <c r="D25" t="s">
        <v>7</v>
      </c>
    </row>
    <row r="26" spans="1:4" x14ac:dyDescent="0.25">
      <c r="A26">
        <v>26</v>
      </c>
      <c r="B26" s="21" t="s">
        <v>185</v>
      </c>
      <c r="D26" t="s">
        <v>7</v>
      </c>
    </row>
    <row r="27" spans="1:4" x14ac:dyDescent="0.25">
      <c r="A27">
        <v>27</v>
      </c>
      <c r="B27" s="21" t="s">
        <v>209</v>
      </c>
      <c r="C27" t="s">
        <v>43</v>
      </c>
      <c r="D27" t="s">
        <v>6</v>
      </c>
    </row>
    <row r="28" spans="1:4" x14ac:dyDescent="0.25">
      <c r="A28">
        <v>28</v>
      </c>
      <c r="B28" s="21" t="s">
        <v>269</v>
      </c>
      <c r="D28" t="s">
        <v>6</v>
      </c>
    </row>
    <row r="29" spans="1:4" x14ac:dyDescent="0.25">
      <c r="A29">
        <v>29</v>
      </c>
      <c r="B29" s="21" t="s">
        <v>270</v>
      </c>
      <c r="D29" t="s">
        <v>7</v>
      </c>
    </row>
    <row r="30" spans="1:4" x14ac:dyDescent="0.25">
      <c r="A30">
        <v>30</v>
      </c>
      <c r="B30" s="21" t="s">
        <v>211</v>
      </c>
      <c r="D30" t="s">
        <v>6</v>
      </c>
    </row>
    <row r="31" spans="1:4" x14ac:dyDescent="0.25">
      <c r="A31">
        <v>31</v>
      </c>
      <c r="B31" s="21" t="s">
        <v>62</v>
      </c>
      <c r="D31" t="s">
        <v>7</v>
      </c>
    </row>
    <row r="32" spans="1:4" x14ac:dyDescent="0.25">
      <c r="A32">
        <v>32</v>
      </c>
      <c r="B32" s="21" t="s">
        <v>301</v>
      </c>
      <c r="D32" t="s">
        <v>7</v>
      </c>
    </row>
    <row r="33" spans="1:4" x14ac:dyDescent="0.25">
      <c r="A33">
        <v>33</v>
      </c>
      <c r="B33" s="21" t="s">
        <v>302</v>
      </c>
      <c r="C33" t="s">
        <v>43</v>
      </c>
      <c r="D33" t="s">
        <v>6</v>
      </c>
    </row>
    <row r="34" spans="1:4" x14ac:dyDescent="0.25">
      <c r="A34">
        <v>34</v>
      </c>
      <c r="B34" s="21" t="s">
        <v>303</v>
      </c>
      <c r="D34" t="s">
        <v>7</v>
      </c>
    </row>
    <row r="35" spans="1:4" x14ac:dyDescent="0.25">
      <c r="A35">
        <v>35</v>
      </c>
      <c r="B35" s="21" t="s">
        <v>304</v>
      </c>
      <c r="D35" t="s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topLeftCell="A8" workbookViewId="0">
      <selection activeCell="A33" sqref="A33"/>
    </sheetView>
  </sheetViews>
  <sheetFormatPr defaultRowHeight="15" x14ac:dyDescent="0.25"/>
  <cols>
    <col min="2" max="2" width="35.7109375" customWidth="1"/>
  </cols>
  <sheetData>
    <row r="1" spans="1:4" x14ac:dyDescent="0.25">
      <c r="A1" t="s">
        <v>20</v>
      </c>
      <c r="B1" t="s">
        <v>11</v>
      </c>
      <c r="C1" t="s">
        <v>10</v>
      </c>
      <c r="D1" t="s">
        <v>147</v>
      </c>
    </row>
    <row r="2" spans="1:4" x14ac:dyDescent="0.25">
      <c r="A2">
        <v>1</v>
      </c>
      <c r="B2" t="s">
        <v>86</v>
      </c>
      <c r="D2" t="s">
        <v>6</v>
      </c>
    </row>
    <row r="3" spans="1:4" x14ac:dyDescent="0.25">
      <c r="A3">
        <v>2</v>
      </c>
      <c r="B3" t="s">
        <v>275</v>
      </c>
      <c r="D3" t="s">
        <v>7</v>
      </c>
    </row>
    <row r="4" spans="1:4" x14ac:dyDescent="0.25">
      <c r="A4">
        <v>3</v>
      </c>
      <c r="B4" t="s">
        <v>78</v>
      </c>
      <c r="D4" t="s">
        <v>6</v>
      </c>
    </row>
    <row r="5" spans="1:4" x14ac:dyDescent="0.25">
      <c r="A5">
        <v>4</v>
      </c>
      <c r="B5" t="s">
        <v>176</v>
      </c>
      <c r="C5" t="s">
        <v>43</v>
      </c>
      <c r="D5" t="s">
        <v>6</v>
      </c>
    </row>
    <row r="6" spans="1:4" x14ac:dyDescent="0.25">
      <c r="A6">
        <v>5</v>
      </c>
      <c r="B6" t="s">
        <v>307</v>
      </c>
    </row>
    <row r="7" spans="1:4" x14ac:dyDescent="0.25">
      <c r="A7">
        <v>6</v>
      </c>
      <c r="B7" t="s">
        <v>305</v>
      </c>
    </row>
    <row r="8" spans="1:4" x14ac:dyDescent="0.25">
      <c r="A8">
        <v>7</v>
      </c>
      <c r="B8" t="s">
        <v>80</v>
      </c>
      <c r="C8" t="s">
        <v>43</v>
      </c>
      <c r="D8" t="s">
        <v>6</v>
      </c>
    </row>
    <row r="9" spans="1:4" x14ac:dyDescent="0.25">
      <c r="A9">
        <v>8</v>
      </c>
      <c r="B9" t="s">
        <v>188</v>
      </c>
      <c r="D9" t="s">
        <v>6</v>
      </c>
    </row>
    <row r="10" spans="1:4" x14ac:dyDescent="0.25">
      <c r="A10">
        <v>9</v>
      </c>
      <c r="B10" t="s">
        <v>132</v>
      </c>
      <c r="C10" t="s">
        <v>43</v>
      </c>
      <c r="D10" t="s">
        <v>7</v>
      </c>
    </row>
    <row r="11" spans="1:4" x14ac:dyDescent="0.25">
      <c r="A11">
        <v>10</v>
      </c>
      <c r="B11" t="s">
        <v>75</v>
      </c>
      <c r="D11" t="s">
        <v>6</v>
      </c>
    </row>
    <row r="12" spans="1:4" x14ac:dyDescent="0.25">
      <c r="A12">
        <v>11</v>
      </c>
      <c r="B12" t="s">
        <v>212</v>
      </c>
      <c r="D12" t="s">
        <v>6</v>
      </c>
    </row>
    <row r="13" spans="1:4" x14ac:dyDescent="0.25">
      <c r="A13">
        <v>12</v>
      </c>
      <c r="B13" t="s">
        <v>74</v>
      </c>
      <c r="D13" t="s">
        <v>6</v>
      </c>
    </row>
    <row r="14" spans="1:4" x14ac:dyDescent="0.25">
      <c r="A14">
        <v>13</v>
      </c>
      <c r="B14" t="s">
        <v>274</v>
      </c>
      <c r="D14" t="s">
        <v>7</v>
      </c>
    </row>
    <row r="15" spans="1:4" x14ac:dyDescent="0.25">
      <c r="A15">
        <v>14</v>
      </c>
      <c r="B15" t="s">
        <v>71</v>
      </c>
      <c r="D15" t="s">
        <v>7</v>
      </c>
    </row>
    <row r="16" spans="1:4" x14ac:dyDescent="0.25">
      <c r="A16">
        <v>31</v>
      </c>
      <c r="B16" t="s">
        <v>238</v>
      </c>
      <c r="D16" t="s">
        <v>7</v>
      </c>
    </row>
    <row r="17" spans="1:7" x14ac:dyDescent="0.25">
      <c r="A17">
        <v>15</v>
      </c>
      <c r="B17" t="s">
        <v>85</v>
      </c>
      <c r="D17" t="s">
        <v>6</v>
      </c>
    </row>
    <row r="18" spans="1:7" x14ac:dyDescent="0.25">
      <c r="A18">
        <v>16</v>
      </c>
      <c r="B18" t="s">
        <v>306</v>
      </c>
    </row>
    <row r="19" spans="1:7" x14ac:dyDescent="0.25">
      <c r="A19">
        <v>17</v>
      </c>
      <c r="B19" t="s">
        <v>73</v>
      </c>
      <c r="C19" t="s">
        <v>43</v>
      </c>
      <c r="D19" t="s">
        <v>6</v>
      </c>
    </row>
    <row r="20" spans="1:7" x14ac:dyDescent="0.25">
      <c r="A20">
        <v>18</v>
      </c>
      <c r="B20" t="s">
        <v>210</v>
      </c>
      <c r="D20" t="s">
        <v>7</v>
      </c>
      <c r="F20" t="s">
        <v>43</v>
      </c>
      <c r="G20" t="s">
        <v>81</v>
      </c>
    </row>
    <row r="21" spans="1:7" x14ac:dyDescent="0.25">
      <c r="A21">
        <v>19</v>
      </c>
      <c r="B21" t="s">
        <v>247</v>
      </c>
      <c r="D21" t="s">
        <v>6</v>
      </c>
    </row>
    <row r="22" spans="1:7" x14ac:dyDescent="0.25">
      <c r="A22">
        <v>20</v>
      </c>
      <c r="B22" t="s">
        <v>77</v>
      </c>
      <c r="C22" t="s">
        <v>43</v>
      </c>
      <c r="D22" t="s">
        <v>6</v>
      </c>
    </row>
    <row r="23" spans="1:7" x14ac:dyDescent="0.25">
      <c r="A23">
        <v>21</v>
      </c>
      <c r="B23" t="s">
        <v>84</v>
      </c>
      <c r="D23" t="s">
        <v>6</v>
      </c>
    </row>
    <row r="24" spans="1:7" x14ac:dyDescent="0.25">
      <c r="A24">
        <v>22</v>
      </c>
      <c r="B24" t="s">
        <v>88</v>
      </c>
      <c r="D24" t="s">
        <v>6</v>
      </c>
    </row>
    <row r="25" spans="1:7" x14ac:dyDescent="0.25">
      <c r="A25">
        <v>23</v>
      </c>
      <c r="B25" t="s">
        <v>79</v>
      </c>
      <c r="D25" t="s">
        <v>6</v>
      </c>
    </row>
    <row r="26" spans="1:7" x14ac:dyDescent="0.25">
      <c r="A26">
        <v>24</v>
      </c>
      <c r="B26" t="s">
        <v>82</v>
      </c>
      <c r="C26" t="s">
        <v>43</v>
      </c>
      <c r="D26" t="s">
        <v>6</v>
      </c>
    </row>
    <row r="27" spans="1:7" x14ac:dyDescent="0.25">
      <c r="A27">
        <v>25</v>
      </c>
      <c r="B27" t="s">
        <v>87</v>
      </c>
      <c r="D27" t="s">
        <v>7</v>
      </c>
    </row>
    <row r="28" spans="1:7" x14ac:dyDescent="0.25">
      <c r="A28">
        <v>26</v>
      </c>
      <c r="B28" t="s">
        <v>83</v>
      </c>
      <c r="D28" t="s">
        <v>6</v>
      </c>
    </row>
    <row r="29" spans="1:7" x14ac:dyDescent="0.25">
      <c r="A29">
        <v>27</v>
      </c>
      <c r="B29" t="s">
        <v>141</v>
      </c>
      <c r="D29" t="s">
        <v>6</v>
      </c>
    </row>
    <row r="30" spans="1:7" x14ac:dyDescent="0.25">
      <c r="A30">
        <v>28</v>
      </c>
      <c r="B30" t="s">
        <v>273</v>
      </c>
      <c r="D30" t="s">
        <v>7</v>
      </c>
    </row>
    <row r="31" spans="1:7" x14ac:dyDescent="0.25">
      <c r="A31">
        <v>29</v>
      </c>
      <c r="B31" t="s">
        <v>76</v>
      </c>
      <c r="D31" t="s">
        <v>7</v>
      </c>
    </row>
    <row r="32" spans="1:7" x14ac:dyDescent="0.25">
      <c r="A32">
        <v>30</v>
      </c>
      <c r="B32" t="s">
        <v>72</v>
      </c>
      <c r="D32" t="s">
        <v>6</v>
      </c>
    </row>
    <row r="33" spans="1:4" x14ac:dyDescent="0.25">
      <c r="A33">
        <v>31</v>
      </c>
      <c r="B33" t="s">
        <v>294</v>
      </c>
      <c r="D33" t="s">
        <v>7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topLeftCell="A9" workbookViewId="0">
      <selection activeCell="D31" sqref="D31"/>
    </sheetView>
  </sheetViews>
  <sheetFormatPr defaultRowHeight="15" x14ac:dyDescent="0.25"/>
  <cols>
    <col min="2" max="2" width="26.85546875" customWidth="1"/>
  </cols>
  <sheetData>
    <row r="1" spans="1:7" x14ac:dyDescent="0.25">
      <c r="A1" t="s">
        <v>20</v>
      </c>
      <c r="B1" t="s">
        <v>11</v>
      </c>
      <c r="C1" t="s">
        <v>10</v>
      </c>
      <c r="D1" t="s">
        <v>150</v>
      </c>
    </row>
    <row r="2" spans="1:7" x14ac:dyDescent="0.25">
      <c r="A2">
        <v>1</v>
      </c>
      <c r="B2" t="s">
        <v>91</v>
      </c>
      <c r="C2" t="s">
        <v>43</v>
      </c>
      <c r="D2" t="s">
        <v>6</v>
      </c>
    </row>
    <row r="3" spans="1:7" x14ac:dyDescent="0.25">
      <c r="A3">
        <v>2</v>
      </c>
      <c r="B3" t="s">
        <v>90</v>
      </c>
      <c r="D3" t="s">
        <v>6</v>
      </c>
    </row>
    <row r="4" spans="1:7" x14ac:dyDescent="0.25">
      <c r="A4">
        <v>3</v>
      </c>
      <c r="B4" t="s">
        <v>131</v>
      </c>
      <c r="C4" t="s">
        <v>43</v>
      </c>
      <c r="D4" t="s">
        <v>7</v>
      </c>
    </row>
    <row r="5" spans="1:7" x14ac:dyDescent="0.25">
      <c r="A5">
        <v>4</v>
      </c>
      <c r="B5" t="s">
        <v>93</v>
      </c>
      <c r="D5" t="s">
        <v>7</v>
      </c>
    </row>
    <row r="6" spans="1:7" x14ac:dyDescent="0.25">
      <c r="A6">
        <v>5</v>
      </c>
      <c r="B6" t="s">
        <v>312</v>
      </c>
      <c r="D6" t="s">
        <v>7</v>
      </c>
    </row>
    <row r="7" spans="1:7" x14ac:dyDescent="0.25">
      <c r="A7">
        <v>6</v>
      </c>
      <c r="B7" t="s">
        <v>231</v>
      </c>
      <c r="D7" t="s">
        <v>7</v>
      </c>
    </row>
    <row r="8" spans="1:7" x14ac:dyDescent="0.25">
      <c r="A8">
        <v>7</v>
      </c>
      <c r="B8" t="s">
        <v>165</v>
      </c>
      <c r="D8" t="s">
        <v>6</v>
      </c>
    </row>
    <row r="9" spans="1:7" x14ac:dyDescent="0.25">
      <c r="A9">
        <v>8</v>
      </c>
      <c r="B9" t="s">
        <v>219</v>
      </c>
      <c r="D9" t="s">
        <v>6</v>
      </c>
    </row>
    <row r="10" spans="1:7" x14ac:dyDescent="0.25">
      <c r="A10">
        <v>9</v>
      </c>
      <c r="B10" t="s">
        <v>129</v>
      </c>
      <c r="D10" t="s">
        <v>7</v>
      </c>
    </row>
    <row r="11" spans="1:7" x14ac:dyDescent="0.25">
      <c r="A11">
        <v>10</v>
      </c>
      <c r="B11" t="s">
        <v>92</v>
      </c>
      <c r="D11" t="s">
        <v>7</v>
      </c>
    </row>
    <row r="12" spans="1:7" x14ac:dyDescent="0.25">
      <c r="A12">
        <v>11</v>
      </c>
      <c r="B12" t="s">
        <v>216</v>
      </c>
      <c r="D12" t="s">
        <v>6</v>
      </c>
    </row>
    <row r="13" spans="1:7" x14ac:dyDescent="0.25">
      <c r="A13">
        <v>12</v>
      </c>
      <c r="B13" t="s">
        <v>215</v>
      </c>
      <c r="C13" t="s">
        <v>43</v>
      </c>
      <c r="D13" t="s">
        <v>6</v>
      </c>
    </row>
    <row r="14" spans="1:7" x14ac:dyDescent="0.25">
      <c r="A14">
        <v>14</v>
      </c>
      <c r="B14" t="s">
        <v>281</v>
      </c>
      <c r="C14" t="s">
        <v>43</v>
      </c>
      <c r="D14" t="s">
        <v>7</v>
      </c>
    </row>
    <row r="15" spans="1:7" x14ac:dyDescent="0.25">
      <c r="A15">
        <v>15</v>
      </c>
      <c r="B15" t="s">
        <v>280</v>
      </c>
      <c r="D15" t="s">
        <v>7</v>
      </c>
    </row>
    <row r="16" spans="1:7" x14ac:dyDescent="0.25">
      <c r="A16">
        <v>16</v>
      </c>
      <c r="B16" t="s">
        <v>282</v>
      </c>
      <c r="D16" t="s">
        <v>7</v>
      </c>
      <c r="F16" t="s">
        <v>43</v>
      </c>
      <c r="G16" t="s">
        <v>126</v>
      </c>
    </row>
    <row r="17" spans="1:4" x14ac:dyDescent="0.25">
      <c r="A17">
        <v>17</v>
      </c>
      <c r="B17" t="s">
        <v>313</v>
      </c>
      <c r="D17" t="s">
        <v>7</v>
      </c>
    </row>
    <row r="18" spans="1:4" x14ac:dyDescent="0.25">
      <c r="A18">
        <v>18</v>
      </c>
      <c r="B18" t="s">
        <v>276</v>
      </c>
      <c r="D18" t="s">
        <v>6</v>
      </c>
    </row>
    <row r="19" spans="1:4" x14ac:dyDescent="0.25">
      <c r="A19">
        <v>19</v>
      </c>
      <c r="B19" t="s">
        <v>207</v>
      </c>
      <c r="D19" t="s">
        <v>6</v>
      </c>
    </row>
    <row r="20" spans="1:4" x14ac:dyDescent="0.25">
      <c r="A20">
        <v>13</v>
      </c>
      <c r="B20" t="s">
        <v>279</v>
      </c>
      <c r="D20" t="s">
        <v>6</v>
      </c>
    </row>
    <row r="21" spans="1:4" x14ac:dyDescent="0.25">
      <c r="A21">
        <v>20</v>
      </c>
      <c r="B21" t="s">
        <v>140</v>
      </c>
      <c r="D21" t="s">
        <v>6</v>
      </c>
    </row>
    <row r="22" spans="1:4" x14ac:dyDescent="0.25">
      <c r="A22">
        <v>21</v>
      </c>
      <c r="B22" t="s">
        <v>308</v>
      </c>
      <c r="D22" t="s">
        <v>7</v>
      </c>
    </row>
    <row r="23" spans="1:4" x14ac:dyDescent="0.25">
      <c r="A23">
        <v>22</v>
      </c>
      <c r="B23" t="s">
        <v>171</v>
      </c>
      <c r="D23" t="s">
        <v>7</v>
      </c>
    </row>
    <row r="24" spans="1:4" x14ac:dyDescent="0.25">
      <c r="A24">
        <v>23</v>
      </c>
      <c r="B24" t="s">
        <v>311</v>
      </c>
      <c r="D24" t="s">
        <v>7</v>
      </c>
    </row>
    <row r="25" spans="1:4" x14ac:dyDescent="0.25">
      <c r="A25">
        <v>24</v>
      </c>
      <c r="B25" t="s">
        <v>89</v>
      </c>
      <c r="D25" t="s">
        <v>7</v>
      </c>
    </row>
    <row r="26" spans="1:4" x14ac:dyDescent="0.25">
      <c r="A26">
        <v>25</v>
      </c>
      <c r="B26" t="s">
        <v>310</v>
      </c>
      <c r="D26" t="s">
        <v>6</v>
      </c>
    </row>
    <row r="27" spans="1:4" x14ac:dyDescent="0.25">
      <c r="A27">
        <v>26</v>
      </c>
      <c r="B27" t="s">
        <v>278</v>
      </c>
      <c r="D27" t="s">
        <v>6</v>
      </c>
    </row>
    <row r="28" spans="1:4" x14ac:dyDescent="0.25">
      <c r="A28">
        <v>27</v>
      </c>
      <c r="B28" t="s">
        <v>172</v>
      </c>
      <c r="D28" t="s">
        <v>6</v>
      </c>
    </row>
    <row r="29" spans="1:4" x14ac:dyDescent="0.25">
      <c r="A29">
        <v>28</v>
      </c>
      <c r="B29" t="s">
        <v>220</v>
      </c>
      <c r="D29" t="s">
        <v>7</v>
      </c>
    </row>
    <row r="30" spans="1:4" x14ac:dyDescent="0.25">
      <c r="A30">
        <v>29</v>
      </c>
      <c r="B30" t="s">
        <v>168</v>
      </c>
      <c r="D30" t="s">
        <v>7</v>
      </c>
    </row>
    <row r="31" spans="1:4" x14ac:dyDescent="0.25">
      <c r="A31">
        <v>30</v>
      </c>
      <c r="B31" t="s">
        <v>309</v>
      </c>
      <c r="D31" t="s">
        <v>6</v>
      </c>
    </row>
    <row r="32" spans="1:4" x14ac:dyDescent="0.25">
      <c r="A32">
        <v>31</v>
      </c>
      <c r="B32" t="s">
        <v>125</v>
      </c>
      <c r="C32" t="s">
        <v>43</v>
      </c>
      <c r="D32" t="s">
        <v>6</v>
      </c>
    </row>
    <row r="33" spans="1:4" x14ac:dyDescent="0.25">
      <c r="A33">
        <v>32</v>
      </c>
      <c r="B33" t="s">
        <v>277</v>
      </c>
      <c r="C33" t="s">
        <v>43</v>
      </c>
      <c r="D33" t="s">
        <v>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>
      <selection activeCell="B5" sqref="B5"/>
    </sheetView>
  </sheetViews>
  <sheetFormatPr defaultRowHeight="15" x14ac:dyDescent="0.25"/>
  <cols>
    <col min="2" max="2" width="30.85546875" customWidth="1"/>
  </cols>
  <sheetData>
    <row r="1" spans="1:7" x14ac:dyDescent="0.25">
      <c r="A1" t="s">
        <v>9</v>
      </c>
      <c r="B1" t="s">
        <v>11</v>
      </c>
      <c r="C1" t="s">
        <v>10</v>
      </c>
      <c r="D1" t="s">
        <v>150</v>
      </c>
    </row>
    <row r="2" spans="1:7" ht="15.75" x14ac:dyDescent="0.25">
      <c r="A2">
        <v>1</v>
      </c>
      <c r="B2" t="s">
        <v>315</v>
      </c>
      <c r="D2" t="s">
        <v>6</v>
      </c>
      <c r="G2" s="9"/>
    </row>
    <row r="3" spans="1:7" ht="15.75" x14ac:dyDescent="0.25">
      <c r="A3">
        <v>2</v>
      </c>
      <c r="B3" t="s">
        <v>138</v>
      </c>
      <c r="D3" t="s">
        <v>7</v>
      </c>
      <c r="G3" s="9"/>
    </row>
    <row r="4" spans="1:7" ht="15.75" x14ac:dyDescent="0.25">
      <c r="A4">
        <v>3</v>
      </c>
      <c r="B4" t="s">
        <v>245</v>
      </c>
      <c r="D4" t="s">
        <v>6</v>
      </c>
      <c r="G4" s="9"/>
    </row>
    <row r="5" spans="1:7" ht="15.75" x14ac:dyDescent="0.25">
      <c r="A5">
        <v>4</v>
      </c>
      <c r="B5" t="s">
        <v>97</v>
      </c>
      <c r="C5" t="s">
        <v>43</v>
      </c>
      <c r="D5" t="s">
        <v>6</v>
      </c>
      <c r="G5" s="9"/>
    </row>
    <row r="6" spans="1:7" ht="15.75" x14ac:dyDescent="0.25">
      <c r="A6">
        <v>5</v>
      </c>
      <c r="B6" t="s">
        <v>314</v>
      </c>
      <c r="D6" t="s">
        <v>6</v>
      </c>
      <c r="G6" s="9"/>
    </row>
    <row r="7" spans="1:7" ht="15.75" x14ac:dyDescent="0.25">
      <c r="A7">
        <v>6</v>
      </c>
      <c r="B7" t="s">
        <v>152</v>
      </c>
      <c r="D7" t="s">
        <v>7</v>
      </c>
      <c r="G7" s="9"/>
    </row>
    <row r="8" spans="1:7" ht="15.75" x14ac:dyDescent="0.25">
      <c r="A8">
        <v>7</v>
      </c>
      <c r="B8" t="s">
        <v>187</v>
      </c>
      <c r="D8" t="s">
        <v>7</v>
      </c>
      <c r="G8" s="9"/>
    </row>
    <row r="9" spans="1:7" ht="15.75" x14ac:dyDescent="0.25">
      <c r="A9">
        <v>8</v>
      </c>
      <c r="B9" t="s">
        <v>100</v>
      </c>
      <c r="D9" t="s">
        <v>7</v>
      </c>
      <c r="G9" s="9"/>
    </row>
    <row r="10" spans="1:7" ht="15.75" x14ac:dyDescent="0.25">
      <c r="A10">
        <v>9</v>
      </c>
      <c r="B10" t="s">
        <v>95</v>
      </c>
      <c r="D10" t="s">
        <v>6</v>
      </c>
      <c r="G10" s="9"/>
    </row>
    <row r="11" spans="1:7" ht="15.75" x14ac:dyDescent="0.25">
      <c r="A11">
        <v>10</v>
      </c>
      <c r="B11" t="s">
        <v>98</v>
      </c>
      <c r="D11" t="s">
        <v>6</v>
      </c>
      <c r="F11" t="s">
        <v>102</v>
      </c>
      <c r="G11" s="9" t="s">
        <v>103</v>
      </c>
    </row>
    <row r="12" spans="1:7" x14ac:dyDescent="0.25">
      <c r="A12">
        <v>11</v>
      </c>
      <c r="B12" t="s">
        <v>101</v>
      </c>
      <c r="C12" t="s">
        <v>43</v>
      </c>
      <c r="D12" t="s">
        <v>6</v>
      </c>
    </row>
    <row r="13" spans="1:7" x14ac:dyDescent="0.25">
      <c r="A13">
        <v>12</v>
      </c>
      <c r="B13" t="s">
        <v>96</v>
      </c>
      <c r="C13" t="s">
        <v>43</v>
      </c>
      <c r="D13" t="s">
        <v>6</v>
      </c>
    </row>
    <row r="14" spans="1:7" x14ac:dyDescent="0.25">
      <c r="A14">
        <v>13</v>
      </c>
      <c r="B14" t="s">
        <v>94</v>
      </c>
      <c r="D14" t="s">
        <v>6</v>
      </c>
    </row>
    <row r="15" spans="1:7" x14ac:dyDescent="0.25">
      <c r="A15">
        <v>15</v>
      </c>
      <c r="B15" t="s">
        <v>283</v>
      </c>
      <c r="D15" t="s">
        <v>6</v>
      </c>
    </row>
    <row r="16" spans="1:7" x14ac:dyDescent="0.25">
      <c r="A16">
        <v>14</v>
      </c>
      <c r="B16" t="s">
        <v>174</v>
      </c>
      <c r="C16" t="s">
        <v>43</v>
      </c>
      <c r="D16" t="s">
        <v>6</v>
      </c>
    </row>
    <row r="17" spans="1:4" x14ac:dyDescent="0.25">
      <c r="A17">
        <v>15</v>
      </c>
      <c r="B17" t="s">
        <v>137</v>
      </c>
      <c r="C17" t="s">
        <v>43</v>
      </c>
      <c r="D17" t="s">
        <v>6</v>
      </c>
    </row>
    <row r="18" spans="1:4" x14ac:dyDescent="0.25">
      <c r="A18">
        <v>16</v>
      </c>
      <c r="B18" t="s">
        <v>243</v>
      </c>
      <c r="D18" t="s">
        <v>7</v>
      </c>
    </row>
    <row r="19" spans="1:4" x14ac:dyDescent="0.25">
      <c r="A19">
        <v>17</v>
      </c>
      <c r="B19" t="s">
        <v>99</v>
      </c>
      <c r="D19" t="s">
        <v>6</v>
      </c>
    </row>
    <row r="20" spans="1:4" x14ac:dyDescent="0.25">
      <c r="A20">
        <v>18</v>
      </c>
      <c r="D20" t="s">
        <v>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selection activeCell="B18" sqref="B18"/>
    </sheetView>
  </sheetViews>
  <sheetFormatPr defaultRowHeight="15" x14ac:dyDescent="0.25"/>
  <cols>
    <col min="2" max="2" width="30.5703125" customWidth="1"/>
  </cols>
  <sheetData>
    <row r="1" spans="1:4" x14ac:dyDescent="0.25">
      <c r="A1" t="s">
        <v>20</v>
      </c>
      <c r="B1" t="s">
        <v>11</v>
      </c>
      <c r="C1" t="s">
        <v>10</v>
      </c>
      <c r="D1" t="s">
        <v>149</v>
      </c>
    </row>
    <row r="2" spans="1:4" x14ac:dyDescent="0.25">
      <c r="A2">
        <v>1</v>
      </c>
      <c r="B2" t="s">
        <v>121</v>
      </c>
      <c r="D2" t="s">
        <v>6</v>
      </c>
    </row>
    <row r="3" spans="1:4" x14ac:dyDescent="0.25">
      <c r="A3">
        <v>2</v>
      </c>
      <c r="B3" t="s">
        <v>106</v>
      </c>
      <c r="D3" t="s">
        <v>6</v>
      </c>
    </row>
    <row r="4" spans="1:4" x14ac:dyDescent="0.25">
      <c r="A4">
        <v>3</v>
      </c>
      <c r="B4" t="s">
        <v>293</v>
      </c>
      <c r="D4" t="s">
        <v>6</v>
      </c>
    </row>
    <row r="5" spans="1:4" x14ac:dyDescent="0.25">
      <c r="A5">
        <v>4</v>
      </c>
      <c r="B5" t="s">
        <v>316</v>
      </c>
    </row>
    <row r="6" spans="1:4" x14ac:dyDescent="0.25">
      <c r="A6">
        <v>5</v>
      </c>
      <c r="B6" t="s">
        <v>233</v>
      </c>
      <c r="C6" t="s">
        <v>43</v>
      </c>
      <c r="D6" t="s">
        <v>7</v>
      </c>
    </row>
    <row r="7" spans="1:4" x14ac:dyDescent="0.25">
      <c r="A7">
        <v>6</v>
      </c>
      <c r="B7" t="s">
        <v>104</v>
      </c>
      <c r="D7" t="s">
        <v>7</v>
      </c>
    </row>
    <row r="8" spans="1:4" x14ac:dyDescent="0.25">
      <c r="A8">
        <v>7</v>
      </c>
      <c r="B8" t="s">
        <v>206</v>
      </c>
      <c r="D8" t="s">
        <v>6</v>
      </c>
    </row>
    <row r="9" spans="1:4" x14ac:dyDescent="0.25">
      <c r="A9">
        <v>9</v>
      </c>
      <c r="B9" t="s">
        <v>146</v>
      </c>
      <c r="D9" t="s">
        <v>6</v>
      </c>
    </row>
    <row r="10" spans="1:4" x14ac:dyDescent="0.25">
      <c r="A10">
        <v>10</v>
      </c>
      <c r="B10" t="s">
        <v>105</v>
      </c>
      <c r="D10" t="s">
        <v>7</v>
      </c>
    </row>
    <row r="11" spans="1:4" x14ac:dyDescent="0.25">
      <c r="A11">
        <v>11</v>
      </c>
      <c r="B11" t="s">
        <v>284</v>
      </c>
      <c r="D11" t="s">
        <v>6</v>
      </c>
    </row>
    <row r="12" spans="1:4" x14ac:dyDescent="0.25">
      <c r="A12">
        <v>12</v>
      </c>
      <c r="B12" t="s">
        <v>285</v>
      </c>
      <c r="D12" t="s">
        <v>7</v>
      </c>
    </row>
    <row r="13" spans="1:4" x14ac:dyDescent="0.25">
      <c r="A13">
        <v>13</v>
      </c>
      <c r="B13" t="s">
        <v>246</v>
      </c>
      <c r="D13" t="s">
        <v>7</v>
      </c>
    </row>
    <row r="14" spans="1:4" x14ac:dyDescent="0.25">
      <c r="A14">
        <v>14</v>
      </c>
      <c r="B14" t="s">
        <v>286</v>
      </c>
      <c r="D14" t="s">
        <v>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selection activeCell="D2" sqref="D2"/>
    </sheetView>
  </sheetViews>
  <sheetFormatPr defaultRowHeight="15" x14ac:dyDescent="0.25"/>
  <cols>
    <col min="2" max="2" width="27.28515625" customWidth="1"/>
  </cols>
  <sheetData>
    <row r="1" spans="1:7" x14ac:dyDescent="0.25">
      <c r="A1" t="s">
        <v>20</v>
      </c>
      <c r="B1" t="s">
        <v>11</v>
      </c>
      <c r="C1" t="s">
        <v>10</v>
      </c>
      <c r="D1" t="s">
        <v>149</v>
      </c>
    </row>
    <row r="2" spans="1:7" ht="15.75" x14ac:dyDescent="0.25">
      <c r="A2">
        <v>1</v>
      </c>
      <c r="B2" t="s">
        <v>227</v>
      </c>
      <c r="D2" t="s">
        <v>6</v>
      </c>
      <c r="G2" s="9"/>
    </row>
    <row r="3" spans="1:7" ht="15.75" x14ac:dyDescent="0.25">
      <c r="A3">
        <v>2</v>
      </c>
      <c r="B3" t="s">
        <v>112</v>
      </c>
      <c r="C3" t="s">
        <v>43</v>
      </c>
      <c r="D3" t="s">
        <v>6</v>
      </c>
      <c r="G3" s="9"/>
    </row>
    <row r="4" spans="1:7" ht="15.75" x14ac:dyDescent="0.25">
      <c r="A4">
        <v>3</v>
      </c>
      <c r="B4" t="s">
        <v>108</v>
      </c>
      <c r="C4" t="s">
        <v>43</v>
      </c>
      <c r="D4" t="s">
        <v>6</v>
      </c>
      <c r="G4" s="9"/>
    </row>
    <row r="5" spans="1:7" ht="15.75" x14ac:dyDescent="0.25">
      <c r="A5">
        <v>4</v>
      </c>
      <c r="B5" t="s">
        <v>107</v>
      </c>
      <c r="D5" t="s">
        <v>7</v>
      </c>
      <c r="G5" s="9"/>
    </row>
    <row r="6" spans="1:7" ht="15.75" x14ac:dyDescent="0.25">
      <c r="A6">
        <v>5</v>
      </c>
      <c r="B6" t="s">
        <v>231</v>
      </c>
      <c r="C6" t="s">
        <v>43</v>
      </c>
      <c r="D6" t="s">
        <v>7</v>
      </c>
      <c r="G6" s="9"/>
    </row>
    <row r="7" spans="1:7" ht="15.75" x14ac:dyDescent="0.25">
      <c r="A7">
        <v>6</v>
      </c>
      <c r="B7" t="s">
        <v>229</v>
      </c>
      <c r="C7" t="s">
        <v>43</v>
      </c>
      <c r="D7" t="s">
        <v>6</v>
      </c>
      <c r="G7" s="9"/>
    </row>
    <row r="8" spans="1:7" ht="15.75" x14ac:dyDescent="0.25">
      <c r="A8">
        <v>7</v>
      </c>
      <c r="B8" t="s">
        <v>113</v>
      </c>
      <c r="D8" t="s">
        <v>6</v>
      </c>
      <c r="G8" s="9"/>
    </row>
    <row r="9" spans="1:7" ht="15.75" x14ac:dyDescent="0.25">
      <c r="A9">
        <v>8</v>
      </c>
      <c r="B9" t="s">
        <v>288</v>
      </c>
      <c r="D9" t="s">
        <v>6</v>
      </c>
      <c r="G9" s="9"/>
    </row>
    <row r="10" spans="1:7" x14ac:dyDescent="0.25">
      <c r="A10">
        <v>9</v>
      </c>
      <c r="B10" t="s">
        <v>170</v>
      </c>
      <c r="D10" t="s">
        <v>7</v>
      </c>
      <c r="F10" t="s">
        <v>43</v>
      </c>
      <c r="G10" t="s">
        <v>145</v>
      </c>
    </row>
    <row r="11" spans="1:7" x14ac:dyDescent="0.25">
      <c r="A11">
        <v>10</v>
      </c>
      <c r="B11" t="s">
        <v>114</v>
      </c>
      <c r="C11" t="s">
        <v>43</v>
      </c>
      <c r="D11" t="s">
        <v>7</v>
      </c>
    </row>
    <row r="12" spans="1:7" x14ac:dyDescent="0.25">
      <c r="A12">
        <v>11</v>
      </c>
      <c r="B12" t="s">
        <v>317</v>
      </c>
      <c r="D12" t="s">
        <v>6</v>
      </c>
    </row>
    <row r="13" spans="1:7" x14ac:dyDescent="0.25">
      <c r="A13">
        <v>12</v>
      </c>
      <c r="B13" t="s">
        <v>124</v>
      </c>
      <c r="D13" t="s">
        <v>7</v>
      </c>
    </row>
    <row r="14" spans="1:7" x14ac:dyDescent="0.25">
      <c r="A14">
        <v>13</v>
      </c>
      <c r="B14" t="s">
        <v>287</v>
      </c>
      <c r="D14" t="s">
        <v>7</v>
      </c>
    </row>
    <row r="15" spans="1:7" x14ac:dyDescent="0.25">
      <c r="A15">
        <v>14</v>
      </c>
      <c r="B15" t="s">
        <v>110</v>
      </c>
      <c r="D15" t="s">
        <v>6</v>
      </c>
    </row>
    <row r="16" spans="1:7" x14ac:dyDescent="0.25">
      <c r="A16">
        <v>15</v>
      </c>
      <c r="B16" t="s">
        <v>109</v>
      </c>
      <c r="C16" t="s">
        <v>43</v>
      </c>
      <c r="D16" t="s">
        <v>6</v>
      </c>
    </row>
    <row r="17" spans="1:4" x14ac:dyDescent="0.25">
      <c r="A17">
        <v>16</v>
      </c>
      <c r="B17" t="s">
        <v>237</v>
      </c>
      <c r="D17" t="s">
        <v>6</v>
      </c>
    </row>
    <row r="18" spans="1:4" x14ac:dyDescent="0.25">
      <c r="A18">
        <v>17</v>
      </c>
      <c r="B18" t="s">
        <v>111</v>
      </c>
      <c r="C18" t="s">
        <v>43</v>
      </c>
      <c r="D18" t="s">
        <v>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workbookViewId="0">
      <selection activeCell="C8" sqref="C8"/>
    </sheetView>
  </sheetViews>
  <sheetFormatPr defaultRowHeight="15" x14ac:dyDescent="0.25"/>
  <cols>
    <col min="2" max="2" width="29" customWidth="1"/>
  </cols>
  <sheetData>
    <row r="1" spans="1:7" x14ac:dyDescent="0.25">
      <c r="A1" t="s">
        <v>20</v>
      </c>
      <c r="B1" t="s">
        <v>11</v>
      </c>
      <c r="C1" t="s">
        <v>10</v>
      </c>
      <c r="D1" t="s">
        <v>150</v>
      </c>
    </row>
    <row r="2" spans="1:7" ht="15.75" x14ac:dyDescent="0.25">
      <c r="A2">
        <v>1</v>
      </c>
      <c r="B2" t="s">
        <v>116</v>
      </c>
      <c r="C2" t="s">
        <v>43</v>
      </c>
      <c r="D2" t="s">
        <v>6</v>
      </c>
      <c r="F2" s="9"/>
    </row>
    <row r="3" spans="1:7" ht="15.75" x14ac:dyDescent="0.25">
      <c r="A3">
        <v>2</v>
      </c>
      <c r="B3" t="s">
        <v>115</v>
      </c>
      <c r="C3" t="s">
        <v>43</v>
      </c>
      <c r="D3" t="s">
        <v>7</v>
      </c>
      <c r="F3" s="9"/>
    </row>
    <row r="4" spans="1:7" ht="15.75" x14ac:dyDescent="0.25">
      <c r="A4">
        <v>3</v>
      </c>
      <c r="B4" t="s">
        <v>166</v>
      </c>
      <c r="C4" t="s">
        <v>43</v>
      </c>
      <c r="D4" t="s">
        <v>6</v>
      </c>
      <c r="F4" s="9"/>
    </row>
    <row r="5" spans="1:7" ht="15.75" x14ac:dyDescent="0.25">
      <c r="A5">
        <v>4</v>
      </c>
      <c r="B5" t="s">
        <v>151</v>
      </c>
      <c r="D5" t="s">
        <v>7</v>
      </c>
      <c r="F5" s="9"/>
    </row>
    <row r="6" spans="1:7" ht="15.75" x14ac:dyDescent="0.25">
      <c r="A6">
        <v>5</v>
      </c>
      <c r="B6" t="s">
        <v>289</v>
      </c>
      <c r="C6" t="s">
        <v>43</v>
      </c>
      <c r="D6" t="s">
        <v>7</v>
      </c>
      <c r="F6" s="8"/>
    </row>
    <row r="7" spans="1:7" x14ac:dyDescent="0.25">
      <c r="A7">
        <v>6</v>
      </c>
      <c r="B7" t="s">
        <v>117</v>
      </c>
      <c r="C7" t="s">
        <v>43</v>
      </c>
      <c r="D7" t="s">
        <v>6</v>
      </c>
      <c r="F7" t="s">
        <v>102</v>
      </c>
      <c r="G7" t="s">
        <v>145</v>
      </c>
    </row>
    <row r="8" spans="1:7" x14ac:dyDescent="0.25">
      <c r="A8">
        <v>7</v>
      </c>
      <c r="B8" t="s">
        <v>118</v>
      </c>
      <c r="C8" t="s">
        <v>43</v>
      </c>
      <c r="D8" t="s">
        <v>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>
      <selection activeCell="C9" sqref="C9"/>
    </sheetView>
  </sheetViews>
  <sheetFormatPr defaultRowHeight="15" x14ac:dyDescent="0.25"/>
  <cols>
    <col min="2" max="2" width="24.7109375" customWidth="1"/>
    <col min="3" max="3" width="9" customWidth="1"/>
  </cols>
  <sheetData>
    <row r="1" spans="1:3" x14ac:dyDescent="0.25">
      <c r="A1" t="s">
        <v>20</v>
      </c>
      <c r="B1" t="s">
        <v>11</v>
      </c>
      <c r="C1" t="s">
        <v>10</v>
      </c>
    </row>
    <row r="2" spans="1:3" x14ac:dyDescent="0.25">
      <c r="A2">
        <v>1</v>
      </c>
      <c r="B2" t="s">
        <v>318</v>
      </c>
    </row>
    <row r="3" spans="1:3" x14ac:dyDescent="0.25">
      <c r="A3">
        <v>2</v>
      </c>
      <c r="B3" t="s">
        <v>119</v>
      </c>
    </row>
    <row r="4" spans="1:3" x14ac:dyDescent="0.25">
      <c r="A4">
        <v>3</v>
      </c>
      <c r="B4" t="s">
        <v>328</v>
      </c>
    </row>
    <row r="5" spans="1:3" x14ac:dyDescent="0.25">
      <c r="A5">
        <v>4</v>
      </c>
      <c r="B5" t="s">
        <v>290</v>
      </c>
    </row>
    <row r="6" spans="1:3" x14ac:dyDescent="0.25">
      <c r="A6">
        <v>5</v>
      </c>
      <c r="B6" t="s">
        <v>120</v>
      </c>
      <c r="C6" t="s">
        <v>43</v>
      </c>
    </row>
    <row r="7" spans="1:3" x14ac:dyDescent="0.25">
      <c r="A7">
        <v>6</v>
      </c>
      <c r="B7" t="s">
        <v>186</v>
      </c>
    </row>
    <row r="18" spans="5:6" x14ac:dyDescent="0.25">
      <c r="E18" t="s">
        <v>102</v>
      </c>
      <c r="F18" t="s">
        <v>145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9866-B8C2-4858-9866-606639B2DC60}">
  <dimension ref="A1:C20"/>
  <sheetViews>
    <sheetView workbookViewId="0">
      <selection activeCell="C11" sqref="C11:C19"/>
    </sheetView>
  </sheetViews>
  <sheetFormatPr defaultRowHeight="15" x14ac:dyDescent="0.25"/>
  <cols>
    <col min="1" max="1" width="26.85546875" customWidth="1"/>
    <col min="2" max="2" width="12.5703125" customWidth="1"/>
    <col min="3" max="3" width="11" customWidth="1"/>
  </cols>
  <sheetData>
    <row r="1" spans="1:3" x14ac:dyDescent="0.25">
      <c r="A1" t="s">
        <v>319</v>
      </c>
    </row>
    <row r="4" spans="1:3" x14ac:dyDescent="0.25">
      <c r="A4" t="s">
        <v>21</v>
      </c>
      <c r="B4" t="s">
        <v>189</v>
      </c>
      <c r="C4" t="s">
        <v>320</v>
      </c>
    </row>
    <row r="5" spans="1:3" x14ac:dyDescent="0.25">
      <c r="A5" t="s">
        <v>321</v>
      </c>
      <c r="B5">
        <v>3</v>
      </c>
      <c r="C5" t="s">
        <v>323</v>
      </c>
    </row>
    <row r="6" spans="1:3" x14ac:dyDescent="0.25">
      <c r="A6" t="s">
        <v>322</v>
      </c>
      <c r="B6">
        <v>5</v>
      </c>
      <c r="C6">
        <v>1050</v>
      </c>
    </row>
    <row r="7" spans="1:3" x14ac:dyDescent="0.25">
      <c r="A7" t="s">
        <v>269</v>
      </c>
      <c r="B7">
        <v>5</v>
      </c>
      <c r="C7">
        <v>1050</v>
      </c>
    </row>
    <row r="8" spans="1:3" x14ac:dyDescent="0.25">
      <c r="A8" t="s">
        <v>286</v>
      </c>
      <c r="B8">
        <v>9</v>
      </c>
      <c r="C8">
        <v>1550</v>
      </c>
    </row>
    <row r="9" spans="1:3" x14ac:dyDescent="0.25">
      <c r="A9" t="s">
        <v>324</v>
      </c>
      <c r="B9">
        <v>8</v>
      </c>
      <c r="C9" t="s">
        <v>325</v>
      </c>
    </row>
    <row r="10" spans="1:3" x14ac:dyDescent="0.25">
      <c r="A10" t="s">
        <v>326</v>
      </c>
      <c r="C10">
        <v>1750</v>
      </c>
    </row>
    <row r="20" spans="3:3" x14ac:dyDescent="0.25">
      <c r="C20">
        <f>SUM(C5:C19)</f>
        <v>5400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>
      <selection activeCell="I17" sqref="I17"/>
    </sheetView>
  </sheetViews>
  <sheetFormatPr defaultRowHeight="15" x14ac:dyDescent="0.25"/>
  <sheetData>
    <row r="1" spans="1:3" x14ac:dyDescent="0.25">
      <c r="A1" t="s">
        <v>20</v>
      </c>
      <c r="B1" t="s">
        <v>11</v>
      </c>
      <c r="C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Toal Geral</vt:lpstr>
      <vt:lpstr>Primeira Classe</vt:lpstr>
      <vt:lpstr>Segunda Classe</vt:lpstr>
      <vt:lpstr>Terceira</vt:lpstr>
      <vt:lpstr>Quarta Classe</vt:lpstr>
      <vt:lpstr>Quinta Classe</vt:lpstr>
      <vt:lpstr>Sexta Class</vt:lpstr>
      <vt:lpstr>Setima Classe</vt:lpstr>
      <vt:lpstr>Oiva Classe</vt:lpstr>
      <vt:lpstr>Nona Classe</vt:lpstr>
      <vt:lpstr>Decima Classe</vt:lpstr>
      <vt:lpstr>Decima Primeira Classe</vt:lpstr>
      <vt:lpstr>Decima Segunda Classe</vt:lpstr>
      <vt:lpstr>Sheet2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2015-06-05T18:17:20Z</dcterms:created>
  <dcterms:modified xsi:type="dcterms:W3CDTF">2026-03-06T12:26:45Z</dcterms:modified>
</cp:coreProperties>
</file>